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lthai29\Desktop\BC KNTC\BC giao ban thang\"/>
    </mc:Choice>
  </mc:AlternateContent>
  <bookViews>
    <workbookView xWindow="-120" yWindow="-120" windowWidth="24240" windowHeight="13020"/>
  </bookViews>
  <sheets>
    <sheet name="Sheet2" sheetId="2" r:id="rId1"/>
  </sheets>
  <definedNames>
    <definedName name="_xlnm._FilterDatabase" localSheetId="0" hidden="1">Sheet2!$A$26:$K$54</definedName>
    <definedName name="Z_4FA82DE6_6589_466B_B8D1_A3C67A0ABD6C_.wvu.FilterData" localSheetId="0" hidden="1">Sheet2!$A$29:$K$54</definedName>
    <definedName name="Z_BB62300F_92B3_4A08_83DE_C65B28EE44D8_.wvu.FilterData" localSheetId="0" hidden="1">Sheet2!$A$29:$K$54</definedName>
    <definedName name="Z_F3FCB7D1_7784_4A2D_A483_E622FF4B2CA9_.wvu.FilterData" localSheetId="0" hidden="1">Sheet2!$A$29:$K$54</definedName>
  </definedNames>
  <calcPr calcId="191029"/>
  <customWorkbookViews>
    <customWorkbookView name="Tong cuc Thue - Personal View" guid="{F3FCB7D1-7784-4A2D-A483-E622FF4B2CA9}" mergeInterval="0" personalView="1" maximized="1" xWindow="-8" yWindow="-8" windowWidth="1382" windowHeight="744" activeSheetId="2"/>
    <customWorkbookView name="Administrator - Personal View" guid="{BB62300F-92B3-4A08-83DE-C65B28EE44D8}" mergeInterval="0" personalView="1" maximized="1" xWindow="-8" yWindow="-8" windowWidth="1616" windowHeight="868"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 i="2" l="1"/>
  <c r="I28" i="2" l="1"/>
  <c r="H28" i="2"/>
  <c r="G28" i="2"/>
  <c r="F28" i="2"/>
  <c r="E28" i="2"/>
  <c r="I27" i="2"/>
  <c r="H27" i="2"/>
  <c r="G27" i="2"/>
  <c r="F27" i="2"/>
  <c r="E27" i="2"/>
  <c r="I26" i="2"/>
  <c r="H26" i="2"/>
  <c r="G26" i="2"/>
  <c r="F26" i="2"/>
  <c r="E26" i="2"/>
  <c r="I25" i="2"/>
  <c r="H25" i="2"/>
  <c r="G25" i="2"/>
  <c r="F25" i="2"/>
  <c r="E25" i="2"/>
  <c r="I24" i="2"/>
  <c r="H24" i="2"/>
  <c r="G24" i="2"/>
  <c r="F24" i="2"/>
  <c r="E24" i="2"/>
  <c r="I23" i="2"/>
  <c r="H23" i="2"/>
  <c r="G23" i="2"/>
  <c r="F23" i="2"/>
  <c r="E23" i="2"/>
  <c r="I22" i="2"/>
  <c r="H22" i="2"/>
  <c r="G22" i="2"/>
  <c r="F22" i="2"/>
  <c r="E22" i="2"/>
  <c r="I21" i="2"/>
  <c r="H21" i="2"/>
  <c r="G21" i="2"/>
  <c r="F21" i="2"/>
  <c r="E21" i="2"/>
  <c r="I20" i="2"/>
  <c r="H20" i="2"/>
  <c r="G20" i="2"/>
  <c r="F20" i="2"/>
  <c r="E20" i="2"/>
  <c r="I19" i="2"/>
  <c r="H19" i="2"/>
  <c r="G19" i="2"/>
  <c r="F19" i="2"/>
  <c r="E19" i="2"/>
  <c r="I18" i="2"/>
  <c r="H18" i="2"/>
  <c r="G18" i="2"/>
  <c r="F18" i="2"/>
  <c r="E18" i="2"/>
  <c r="I17" i="2"/>
  <c r="H17" i="2"/>
  <c r="G17" i="2"/>
  <c r="F17" i="2"/>
  <c r="E17" i="2"/>
  <c r="I16" i="2"/>
  <c r="H16" i="2"/>
  <c r="G16" i="2"/>
  <c r="F16" i="2"/>
  <c r="E16" i="2"/>
  <c r="I15" i="2"/>
  <c r="H15" i="2"/>
  <c r="G15" i="2"/>
  <c r="F15" i="2"/>
  <c r="E15" i="2"/>
  <c r="I14" i="2"/>
  <c r="H14" i="2"/>
  <c r="G14" i="2"/>
  <c r="F14" i="2"/>
  <c r="E14" i="2"/>
  <c r="E31" i="2"/>
  <c r="E32" i="2"/>
  <c r="E33" i="2"/>
  <c r="E34" i="2"/>
  <c r="E35" i="2"/>
  <c r="E36" i="2"/>
  <c r="E37" i="2"/>
  <c r="E38" i="2"/>
  <c r="E39" i="2"/>
  <c r="E40" i="2"/>
  <c r="E41" i="2"/>
  <c r="E42" i="2"/>
  <c r="E43" i="2"/>
  <c r="E44" i="2"/>
  <c r="E45" i="2"/>
  <c r="E46" i="2"/>
  <c r="E47" i="2"/>
  <c r="E48" i="2"/>
  <c r="E49" i="2"/>
  <c r="E50" i="2"/>
  <c r="E51" i="2"/>
  <c r="E52" i="2"/>
  <c r="E53" i="2"/>
  <c r="E54" i="2"/>
  <c r="E30" i="2"/>
  <c r="F31" i="2"/>
  <c r="G31" i="2"/>
  <c r="H31" i="2"/>
  <c r="I31" i="2"/>
  <c r="F32" i="2"/>
  <c r="G32" i="2"/>
  <c r="H32" i="2"/>
  <c r="I32" i="2"/>
  <c r="F33" i="2"/>
  <c r="G33" i="2"/>
  <c r="H33" i="2"/>
  <c r="I33" i="2"/>
  <c r="F34" i="2"/>
  <c r="G34" i="2"/>
  <c r="H34" i="2"/>
  <c r="I34" i="2"/>
  <c r="F35" i="2"/>
  <c r="G35" i="2"/>
  <c r="H35" i="2"/>
  <c r="I35" i="2"/>
  <c r="F36" i="2"/>
  <c r="G36" i="2"/>
  <c r="H36" i="2"/>
  <c r="I36" i="2"/>
  <c r="F37" i="2"/>
  <c r="G37" i="2"/>
  <c r="H37" i="2"/>
  <c r="I37" i="2"/>
  <c r="F38" i="2"/>
  <c r="G38" i="2"/>
  <c r="H38" i="2"/>
  <c r="I38" i="2"/>
  <c r="F39" i="2"/>
  <c r="G39" i="2"/>
  <c r="H39" i="2"/>
  <c r="I39" i="2"/>
  <c r="F40" i="2"/>
  <c r="G40" i="2"/>
  <c r="H40" i="2"/>
  <c r="I40" i="2"/>
  <c r="F41" i="2"/>
  <c r="G41" i="2"/>
  <c r="H41" i="2"/>
  <c r="I41" i="2"/>
  <c r="F42" i="2"/>
  <c r="G42" i="2"/>
  <c r="H42" i="2"/>
  <c r="I42" i="2"/>
  <c r="F43" i="2"/>
  <c r="G43" i="2"/>
  <c r="H43" i="2"/>
  <c r="I43" i="2"/>
  <c r="F44" i="2"/>
  <c r="G44" i="2"/>
  <c r="H44" i="2"/>
  <c r="I44" i="2"/>
  <c r="F45" i="2"/>
  <c r="G45" i="2"/>
  <c r="H45" i="2"/>
  <c r="I45" i="2"/>
  <c r="F46" i="2"/>
  <c r="G46" i="2"/>
  <c r="H46" i="2"/>
  <c r="I46" i="2"/>
  <c r="F47" i="2"/>
  <c r="G47" i="2"/>
  <c r="H47" i="2"/>
  <c r="I47" i="2"/>
  <c r="F48" i="2"/>
  <c r="G48" i="2"/>
  <c r="H48" i="2"/>
  <c r="I48" i="2"/>
  <c r="F49" i="2"/>
  <c r="G49" i="2"/>
  <c r="H49" i="2"/>
  <c r="I49" i="2"/>
  <c r="F50" i="2"/>
  <c r="G50" i="2"/>
  <c r="H50" i="2"/>
  <c r="I50" i="2"/>
  <c r="F51" i="2"/>
  <c r="G51" i="2"/>
  <c r="H51" i="2"/>
  <c r="I51" i="2"/>
  <c r="F52" i="2"/>
  <c r="G52" i="2"/>
  <c r="H52" i="2"/>
  <c r="I52" i="2"/>
  <c r="F53" i="2"/>
  <c r="G53" i="2"/>
  <c r="H53" i="2"/>
  <c r="I53" i="2"/>
  <c r="F54" i="2"/>
  <c r="G54" i="2"/>
  <c r="H54" i="2"/>
  <c r="I54" i="2"/>
  <c r="I30" i="2"/>
  <c r="H30" i="2"/>
  <c r="G30" i="2"/>
  <c r="F30" i="2"/>
  <c r="D31" i="2"/>
  <c r="D32" i="2"/>
  <c r="D33" i="2"/>
  <c r="D34" i="2"/>
  <c r="D35" i="2"/>
  <c r="D36" i="2"/>
  <c r="D37" i="2"/>
  <c r="D38" i="2"/>
  <c r="D39" i="2"/>
  <c r="D40" i="2"/>
  <c r="D41" i="2"/>
  <c r="D42" i="2"/>
  <c r="D43" i="2"/>
  <c r="D44" i="2"/>
  <c r="D45" i="2"/>
  <c r="D46" i="2"/>
  <c r="D47" i="2"/>
  <c r="D48" i="2"/>
  <c r="D49" i="2"/>
  <c r="D50" i="2"/>
  <c r="D51" i="2"/>
  <c r="D52" i="2"/>
  <c r="D53" i="2"/>
  <c r="D54" i="2"/>
  <c r="D30" i="2"/>
  <c r="C31" i="2"/>
  <c r="C32" i="2"/>
  <c r="C33" i="2"/>
  <c r="C34" i="2"/>
  <c r="C35" i="2"/>
  <c r="C36" i="2"/>
  <c r="C37" i="2"/>
  <c r="C38" i="2"/>
  <c r="C39" i="2"/>
  <c r="C40" i="2"/>
  <c r="C41" i="2"/>
  <c r="C42" i="2"/>
  <c r="C43" i="2"/>
  <c r="C44" i="2"/>
  <c r="C45" i="2"/>
  <c r="C46" i="2"/>
  <c r="C47" i="2"/>
  <c r="C48" i="2"/>
  <c r="C49" i="2"/>
  <c r="C50" i="2"/>
  <c r="C51" i="2"/>
  <c r="C52" i="2"/>
  <c r="C53" i="2"/>
  <c r="C54" i="2"/>
  <c r="C30" i="2"/>
  <c r="C16" i="2"/>
  <c r="C17" i="2"/>
  <c r="C18" i="2"/>
  <c r="C19" i="2"/>
  <c r="C20" i="2"/>
  <c r="C21" i="2"/>
  <c r="C22" i="2"/>
  <c r="C23" i="2"/>
  <c r="C24" i="2"/>
  <c r="C25" i="2"/>
  <c r="C26" i="2"/>
  <c r="C27" i="2"/>
  <c r="C28" i="2"/>
  <c r="C15" i="2"/>
  <c r="AC14" i="2"/>
  <c r="AD14" i="2"/>
  <c r="AE14" i="2"/>
  <c r="AF14" i="2"/>
  <c r="AG14" i="2"/>
  <c r="AH14" i="2"/>
  <c r="AI14" i="2"/>
  <c r="D11" i="2"/>
  <c r="C11" i="2"/>
  <c r="AB14" i="2"/>
  <c r="C14" i="2" l="1"/>
  <c r="D28" i="2" l="1"/>
  <c r="D27" i="2"/>
  <c r="D24" i="2"/>
  <c r="D22" i="2"/>
  <c r="D21" i="2"/>
  <c r="D20" i="2"/>
  <c r="D17" i="2"/>
  <c r="D25" i="2" l="1"/>
  <c r="D19" i="2"/>
  <c r="D16" i="2"/>
  <c r="D23" i="2"/>
  <c r="D26" i="2"/>
  <c r="D18" i="2"/>
  <c r="D15" i="2" l="1"/>
  <c r="D14" i="2" s="1"/>
  <c r="J48" i="2"/>
  <c r="K49" i="2"/>
  <c r="K48" i="2"/>
  <c r="J49" i="2"/>
  <c r="E12" i="2"/>
  <c r="G29" i="2" l="1"/>
  <c r="J52" i="2" l="1"/>
  <c r="J30" i="2" l="1"/>
  <c r="J54" i="2"/>
  <c r="K51" i="2"/>
  <c r="J51" i="2"/>
  <c r="K50" i="2"/>
  <c r="J50" i="2"/>
  <c r="K53" i="2"/>
  <c r="J53" i="2"/>
  <c r="K30" i="2"/>
  <c r="K54" i="2"/>
  <c r="K52" i="2"/>
  <c r="K32" i="2" l="1"/>
  <c r="E13" i="2" l="1"/>
  <c r="I11" i="2" l="1"/>
  <c r="H11" i="2"/>
  <c r="G11" i="2"/>
  <c r="F11" i="2"/>
  <c r="E11" i="2"/>
  <c r="J47" i="2" l="1"/>
  <c r="K47" i="2"/>
  <c r="J46" i="2"/>
  <c r="K46" i="2"/>
  <c r="J45" i="2"/>
  <c r="K45" i="2"/>
  <c r="J44" i="2"/>
  <c r="K44" i="2"/>
  <c r="J43" i="2"/>
  <c r="K43" i="2"/>
  <c r="J42" i="2"/>
  <c r="K42" i="2"/>
  <c r="J41" i="2"/>
  <c r="K41" i="2"/>
  <c r="J40" i="2"/>
  <c r="K40" i="2"/>
  <c r="J39" i="2"/>
  <c r="K39" i="2"/>
  <c r="J38" i="2"/>
  <c r="K38" i="2"/>
  <c r="J37" i="2"/>
  <c r="K37" i="2"/>
  <c r="J36" i="2"/>
  <c r="K36" i="2"/>
  <c r="J35" i="2"/>
  <c r="K35" i="2"/>
  <c r="J34" i="2"/>
  <c r="K34" i="2"/>
  <c r="J33" i="2"/>
  <c r="K33" i="2"/>
  <c r="J32" i="2"/>
  <c r="J31" i="2"/>
  <c r="K31" i="2"/>
  <c r="E29" i="2"/>
  <c r="I29" i="2"/>
  <c r="H29" i="2"/>
  <c r="F29" i="2"/>
  <c r="D29" i="2"/>
  <c r="C29" i="2"/>
  <c r="J22" i="2"/>
  <c r="K22" i="2"/>
  <c r="J19" i="2"/>
  <c r="K19" i="2"/>
  <c r="I10" i="2"/>
  <c r="H10" i="2"/>
  <c r="G10" i="2"/>
  <c r="G9" i="2" s="1"/>
  <c r="F10" i="2"/>
  <c r="J13" i="2"/>
  <c r="K13" i="2"/>
  <c r="J12" i="2"/>
  <c r="K12" i="2"/>
  <c r="J11" i="2"/>
  <c r="I9" i="2" l="1"/>
  <c r="J29" i="2"/>
  <c r="F9" i="2"/>
  <c r="K29" i="2"/>
  <c r="H9" i="2"/>
  <c r="K11" i="2" l="1"/>
  <c r="J18" i="2" l="1"/>
  <c r="K26" i="2"/>
  <c r="J26" i="2"/>
  <c r="J25" i="2"/>
  <c r="J21" i="2"/>
  <c r="K20" i="2"/>
  <c r="J20" i="2"/>
  <c r="K18" i="2" l="1"/>
  <c r="K17" i="2"/>
  <c r="K25" i="2"/>
  <c r="K21" i="2"/>
  <c r="J23" i="2"/>
  <c r="K23" i="2"/>
  <c r="J15" i="2"/>
  <c r="J24" i="2"/>
  <c r="K24" i="2"/>
  <c r="J17" i="2" l="1"/>
  <c r="K15" i="2"/>
  <c r="E10" i="2"/>
  <c r="D10" i="2" s="1"/>
  <c r="J14" i="2"/>
  <c r="C9" i="2" l="1"/>
  <c r="K14" i="2"/>
  <c r="E9" i="2" l="1"/>
  <c r="K9" i="2" s="1"/>
  <c r="K10" i="2"/>
  <c r="D9" i="2" l="1"/>
  <c r="J9" i="2" s="1"/>
  <c r="J10" i="2"/>
</calcChain>
</file>

<file path=xl/sharedStrings.xml><?xml version="1.0" encoding="utf-8"?>
<sst xmlns="http://schemas.openxmlformats.org/spreadsheetml/2006/main" count="98" uniqueCount="95">
  <si>
    <t>STT</t>
  </si>
  <si>
    <t>Tên đơn vị</t>
  </si>
  <si>
    <t>ĐT Hoàn Kiếm (nay Thuế CS1)</t>
  </si>
  <si>
    <t>ĐT Ba Đình (nay Thuế CS2)</t>
  </si>
  <si>
    <t>ĐT Hai Bà Trưng (nay Thuế CS3)</t>
  </si>
  <si>
    <t>ĐT Đống Đa (nay Thuế CS4)</t>
  </si>
  <si>
    <t>ĐT Cầu Giấy (nay Thuế CS5)</t>
  </si>
  <si>
    <t>ĐT Thanh Xuân (nay Thuế CS6)</t>
  </si>
  <si>
    <t>ĐT Tây Hồ (nay Thuế CS7)</t>
  </si>
  <si>
    <t>ĐT Nam Từ Liêm (nay Thuế CS8)</t>
  </si>
  <si>
    <t>ĐT Bắc Từ Liêm (nay Thuế CS9)</t>
  </si>
  <si>
    <t>ĐT Đông Anh (nay Thuế CS10)</t>
  </si>
  <si>
    <t>ĐT Long Biên (nay Thuế CS11)</t>
  </si>
  <si>
    <t>ĐT Gia Lâm (nay Thuế CS12)</t>
  </si>
  <si>
    <t>ĐT Hoàng Mai (nay Thuế CS13)</t>
  </si>
  <si>
    <t>ĐT Thanh Trì (nay Thuế CS14)</t>
  </si>
  <si>
    <t>ĐT Hà Đông (nay Thuế CS15)</t>
  </si>
  <si>
    <t>ĐT Sơn Tây (nay Thuế CS16)</t>
  </si>
  <si>
    <t>ĐT Ba Vì (nay Thuế CS17)</t>
  </si>
  <si>
    <t>ĐT Sóc Sơn - Mê Linh (nay Thuế CS18)</t>
  </si>
  <si>
    <t>ĐT Thường Tín - Phú Xuyên (nay Thuế CS19)</t>
  </si>
  <si>
    <t>ĐT Ứng Hòa - Mỹ Đức (nay Thuế CS20)</t>
  </si>
  <si>
    <t>ĐT Thanh Oai - Chương Mỹ (nay Thuế CS21)</t>
  </si>
  <si>
    <t>ĐT Thạch Thất - Quốc Oai (nay Thuế CS22)</t>
  </si>
  <si>
    <t>ĐT Hoài Đức (nay Thuế CS23)</t>
  </si>
  <si>
    <t>ĐT Đan Phượng (nay Thuế CS24)</t>
  </si>
  <si>
    <t>ĐT Phúc Thọ (nay Thuế CS25)</t>
  </si>
  <si>
    <t>Đang giải quyết</t>
  </si>
  <si>
    <t>Khối Thuế cơ sở</t>
  </si>
  <si>
    <t>II</t>
  </si>
  <si>
    <t>I</t>
  </si>
  <si>
    <t>Khối văn phòng</t>
  </si>
  <si>
    <t>Phòng Kiểm tra số 2</t>
  </si>
  <si>
    <t>Phòng KT1</t>
  </si>
  <si>
    <t>Phòng KT3</t>
  </si>
  <si>
    <t>Phòng KT4</t>
  </si>
  <si>
    <t>Phòng QLĐất</t>
  </si>
  <si>
    <t>Phòng QLDN1</t>
  </si>
  <si>
    <t>Phòng QLDN2</t>
  </si>
  <si>
    <t>Phòng QLDN3</t>
  </si>
  <si>
    <t>Phòng QLDN4</t>
  </si>
  <si>
    <t>Phòng QLDN5</t>
  </si>
  <si>
    <t>Phòng Thuế cá nhân HKD và thu khác</t>
  </si>
  <si>
    <t>TỔNG</t>
  </si>
  <si>
    <t>CỘNG HÒA XÃ HỘI CHỦ NGHĨA VIỆT NAM</t>
  </si>
  <si>
    <t>Độc lập – Tự do – Hạnh phúc</t>
  </si>
  <si>
    <t xml:space="preserve">      PHÒNG KIỂM TRA SỐ 2</t>
  </si>
  <si>
    <t xml:space="preserve">    THUẾ THÀNH PHỐ HÀ NỘI</t>
  </si>
  <si>
    <t>Số đã giải quyết</t>
  </si>
  <si>
    <t xml:space="preserve"> Tỷ lệ giải quyết </t>
  </si>
  <si>
    <t>Tổng</t>
  </si>
  <si>
    <t>Khiếu nại</t>
  </si>
  <si>
    <t>Tố cáo</t>
  </si>
  <si>
    <t>Trong đó Tố cáo NNT</t>
  </si>
  <si>
    <t xml:space="preserve">10=4/3% </t>
  </si>
  <si>
    <t>11=5/3%</t>
  </si>
  <si>
    <t>5=3-4
=6+7+9</t>
  </si>
  <si>
    <t>KNPA+
nhiều ND</t>
  </si>
  <si>
    <t>Số đơn phải giải quyết</t>
  </si>
  <si>
    <t>Tỷ lệ đang giải quyết</t>
  </si>
  <si>
    <t>TIẾN ĐỘ GIẢI QUYẾT ĐƠN TẠI CÁC ĐƠN VỊ</t>
  </si>
  <si>
    <t>- Tồn KTNB</t>
  </si>
  <si>
    <t>- Phòng KTr2 tiếp nhận</t>
  </si>
  <si>
    <t>Tồn</t>
  </si>
  <si>
    <t>Phòng KT5 (nhận trực tiếp 01)</t>
  </si>
  <si>
    <t>Phòng NVDTPC</t>
  </si>
  <si>
    <t>Phòng Quản trị DL và QL rủi ro</t>
  </si>
  <si>
    <t>Lấy theo số dư Đk của các thành viên tại sheet LK, tiếp nhận tại TCS (khối VP lấy theo dữ liệu KTr2 chuyển, tồn lấy theo các thành viên, khối VP + 1 chueyenr QLDN2, 2 PC QLDN4 do thành viên chốt số đến 20, P2 chốt đến 31/5</t>
  </si>
  <si>
    <t>Dư ĐK</t>
  </si>
  <si>
    <t>BC của các thành viên</t>
  </si>
  <si>
    <t>KN</t>
  </si>
  <si>
    <t>TC CBT</t>
  </si>
  <si>
    <t>TC NNT</t>
  </si>
  <si>
    <t>KNPA</t>
  </si>
  <si>
    <t>NND</t>
  </si>
  <si>
    <t>Các phòng nhận trực tiếp</t>
  </si>
  <si>
    <t>Phòng TCCB (nhận trực tiếp 23)</t>
  </si>
  <si>
    <t>DL PKTr2 chuyển</t>
  </si>
  <si>
    <t>Lấy theo dư ĐK của thành viên</t>
  </si>
  <si>
    <t>Lây stheo tồn của Tvien</t>
  </si>
  <si>
    <t>Số các đvi thành veien chốt đến 20/5. nhưng số PKtr2 chốt đến 31/5, nên PC phát sinh sau sẽ cộng thêm vào đơn tồn</t>
  </si>
  <si>
    <t>Lấy số tiếp nhận trong 2026</t>
  </si>
  <si>
    <t>quá hạn</t>
  </si>
  <si>
    <t>trong hạn</t>
  </si>
  <si>
    <t>Số đã báo tháng trước</t>
  </si>
  <si>
    <t>LK đến GBT5</t>
  </si>
  <si>
    <t>PS GBT6</t>
  </si>
  <si>
    <t>PS GBT7</t>
  </si>
  <si>
    <t>PS GBT8</t>
  </si>
  <si>
    <t>PS GBT9</t>
  </si>
  <si>
    <t>PS GBT10</t>
  </si>
  <si>
    <t>PS GBT11</t>
  </si>
  <si>
    <t>tiếp nhận</t>
  </si>
  <si>
    <t>giải quyết</t>
  </si>
  <si>
    <r>
      <t xml:space="preserve">Các phòng: 
</t>
    </r>
    <r>
      <rPr>
        <sz val="11"/>
        <color rgb="FF000000"/>
        <rFont val="Times New Roman"/>
        <family val="1"/>
      </rPr>
      <t>- Tồn 2025 chuyển sang: 115 đơn;
- 2026 KTr 2 chuyển các phòng: 116 đơn (119 vụ việc)+6 thông tin qua TCD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</si>
</sst>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6" x14ac:knownFonts="1">
    <font>
      <sz val="11"/>
      <color theme="1"/>
      <name val="Calibri"/>
      <family val="2"/>
      <scheme val="minor"/>
    </font>
    <font>
      <sz val="11"/>
      <color theme="1"/>
      <name val="Calibri"/>
      <family val="2"/>
      <scheme val="minor"/>
    </font>
    <font>
      <b/>
      <sz val="11"/>
      <color rgb="FF000000"/>
      <name val="Times New Roman"/>
      <family val="1"/>
    </font>
    <font>
      <i/>
      <sz val="11"/>
      <color rgb="FF000000"/>
      <name val="Times New Roman"/>
      <family val="1"/>
    </font>
    <font>
      <sz val="11"/>
      <color rgb="FF000000"/>
      <name val="Times New Roman"/>
      <family val="1"/>
    </font>
    <font>
      <sz val="12"/>
      <color rgb="FF000000"/>
      <name val="Times New Roman"/>
      <family val="1"/>
    </font>
    <font>
      <sz val="11"/>
      <color theme="1"/>
      <name val="Times New Roman"/>
      <family val="1"/>
    </font>
    <font>
      <b/>
      <sz val="11"/>
      <color theme="1"/>
      <name val="Times New Roman"/>
      <family val="1"/>
    </font>
    <font>
      <b/>
      <sz val="13"/>
      <color theme="1"/>
      <name val="Times New Roman"/>
      <family val="1"/>
    </font>
    <font>
      <sz val="12"/>
      <color theme="1"/>
      <name val="Times New Roman"/>
      <family val="1"/>
    </font>
    <font>
      <b/>
      <sz val="12"/>
      <color theme="1"/>
      <name val="Times New Roman"/>
      <family val="1"/>
    </font>
    <font>
      <b/>
      <i/>
      <sz val="11"/>
      <color rgb="FF000000"/>
      <name val="Times New Roman"/>
      <family val="1"/>
    </font>
    <font>
      <b/>
      <i/>
      <sz val="11"/>
      <color theme="1"/>
      <name val="Times New Roman"/>
      <family val="1"/>
    </font>
    <font>
      <i/>
      <sz val="10"/>
      <color rgb="FF000000"/>
      <name val="Times New Roman"/>
      <family val="1"/>
    </font>
    <font>
      <sz val="10"/>
      <color theme="1"/>
      <name val="Times New Roman"/>
      <family val="1"/>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1" xfId="0" applyFont="1" applyBorder="1" applyAlignment="1">
      <alignment horizontal="center" vertical="center" wrapText="1"/>
    </xf>
    <xf numFmtId="0" fontId="6" fillId="0" borderId="0" xfId="0" applyFont="1"/>
    <xf numFmtId="0" fontId="8" fillId="0" borderId="0" xfId="0" applyFont="1" applyAlignment="1">
      <alignment horizontal="center"/>
    </xf>
    <xf numFmtId="0" fontId="9" fillId="0" borderId="0" xfId="0" applyFont="1" applyAlignment="1"/>
    <xf numFmtId="0" fontId="9" fillId="0" borderId="0" xfId="0" applyFont="1"/>
    <xf numFmtId="0" fontId="10" fillId="0" borderId="0" xfId="0" applyFont="1" applyAlignment="1"/>
    <xf numFmtId="0" fontId="7" fillId="0" borderId="0" xfId="0" applyFont="1" applyAlignment="1">
      <alignment horizontal="center"/>
    </xf>
    <xf numFmtId="0" fontId="6" fillId="0" borderId="0" xfId="0" applyFont="1" applyFill="1"/>
    <xf numFmtId="0" fontId="6" fillId="0" borderId="0" xfId="0" applyFont="1" applyAlignment="1">
      <alignment horizontal="center"/>
    </xf>
    <xf numFmtId="0" fontId="7" fillId="0" borderId="0" xfId="0" applyFont="1" applyAlignment="1">
      <alignment horizont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165" fontId="9" fillId="0" borderId="0" xfId="0" applyNumberFormat="1" applyFont="1"/>
    <xf numFmtId="0" fontId="6" fillId="2" borderId="0" xfId="0" applyFont="1" applyFill="1"/>
    <xf numFmtId="0" fontId="7" fillId="0" borderId="0" xfId="0" applyFont="1"/>
    <xf numFmtId="0" fontId="9" fillId="3" borderId="0" xfId="0" applyFont="1" applyFill="1"/>
    <xf numFmtId="0" fontId="6" fillId="3" borderId="0" xfId="0" applyFont="1" applyFill="1"/>
    <xf numFmtId="0" fontId="14" fillId="3" borderId="0" xfId="0" applyFont="1" applyFill="1" applyAlignment="1">
      <alignment horizontal="center" vertical="center"/>
    </xf>
    <xf numFmtId="0" fontId="7" fillId="3" borderId="0" xfId="0" applyFont="1" applyFill="1"/>
    <xf numFmtId="0" fontId="9" fillId="0" borderId="0" xfId="0" applyFont="1" applyAlignment="1">
      <alignment wrapText="1"/>
    </xf>
    <xf numFmtId="0" fontId="6" fillId="0" borderId="0" xfId="0" applyFont="1" applyAlignment="1">
      <alignment wrapText="1"/>
    </xf>
    <xf numFmtId="0" fontId="14" fillId="0" borderId="0" xfId="0" applyFont="1" applyAlignment="1">
      <alignment horizontal="center" vertical="center" wrapText="1"/>
    </xf>
    <xf numFmtId="0" fontId="6" fillId="0" borderId="0" xfId="0" applyFont="1" applyFill="1" applyAlignment="1">
      <alignment wrapText="1"/>
    </xf>
    <xf numFmtId="0" fontId="3" fillId="0" borderId="4" xfId="0" applyFont="1" applyBorder="1" applyAlignment="1">
      <alignment horizontal="center" vertical="top"/>
    </xf>
    <xf numFmtId="0" fontId="2" fillId="0" borderId="4" xfId="0" applyFont="1" applyBorder="1" applyAlignment="1">
      <alignment horizontal="center" vertical="top"/>
    </xf>
    <xf numFmtId="165" fontId="2" fillId="0" borderId="4" xfId="1" applyNumberFormat="1" applyFont="1" applyFill="1" applyBorder="1" applyAlignment="1">
      <alignment horizontal="right" vertical="top"/>
    </xf>
    <xf numFmtId="9" fontId="2" fillId="0" borderId="4" xfId="2" applyFont="1" applyFill="1" applyBorder="1" applyAlignment="1">
      <alignment vertical="top"/>
    </xf>
    <xf numFmtId="9" fontId="7" fillId="0" borderId="4" xfId="2" applyFont="1" applyFill="1" applyBorder="1" applyAlignment="1">
      <alignment vertical="top"/>
    </xf>
    <xf numFmtId="0" fontId="11" fillId="0" borderId="2" xfId="0" applyFont="1" applyBorder="1" applyAlignment="1">
      <alignment horizontal="center" vertical="top"/>
    </xf>
    <xf numFmtId="0" fontId="11" fillId="0" borderId="2" xfId="0" applyFont="1" applyBorder="1" applyAlignment="1">
      <alignment horizontal="left" vertical="top"/>
    </xf>
    <xf numFmtId="165" fontId="11" fillId="0" borderId="2" xfId="1" applyNumberFormat="1" applyFont="1" applyBorder="1" applyAlignment="1">
      <alignment horizontal="right" vertical="top"/>
    </xf>
    <xf numFmtId="9" fontId="11" fillId="0" borderId="2" xfId="2" applyFont="1" applyBorder="1" applyAlignment="1">
      <alignment vertical="top"/>
    </xf>
    <xf numFmtId="9" fontId="12" fillId="0" borderId="2" xfId="2" applyFont="1" applyFill="1" applyBorder="1" applyAlignment="1">
      <alignment vertical="top"/>
    </xf>
    <xf numFmtId="0" fontId="4" fillId="0" borderId="2" xfId="0" applyFont="1" applyBorder="1" applyAlignment="1">
      <alignment horizontal="center" vertical="top"/>
    </xf>
    <xf numFmtId="0" fontId="4" fillId="0" borderId="2" xfId="0" applyFont="1" applyBorder="1" applyAlignment="1">
      <alignment horizontal="left" vertical="top"/>
    </xf>
    <xf numFmtId="165" fontId="4" fillId="0" borderId="2" xfId="1" applyNumberFormat="1" applyFont="1" applyBorder="1" applyAlignment="1">
      <alignment horizontal="right" vertical="top"/>
    </xf>
    <xf numFmtId="9" fontId="4" fillId="0" borderId="2" xfId="2" applyFont="1" applyBorder="1" applyAlignment="1">
      <alignment vertical="top"/>
    </xf>
    <xf numFmtId="9" fontId="6" fillId="0" borderId="2" xfId="2" applyFont="1" applyFill="1" applyBorder="1" applyAlignment="1">
      <alignment vertical="top"/>
    </xf>
    <xf numFmtId="0" fontId="4" fillId="0" borderId="2" xfId="0" quotePrefix="1" applyFont="1" applyBorder="1" applyAlignment="1">
      <alignment horizontal="left" vertical="top"/>
    </xf>
    <xf numFmtId="165" fontId="4" fillId="0" borderId="2" xfId="1" applyNumberFormat="1" applyFont="1" applyFill="1" applyBorder="1" applyAlignment="1">
      <alignment horizontal="right" vertical="top"/>
    </xf>
    <xf numFmtId="0" fontId="2" fillId="0" borderId="2" xfId="0" applyFont="1" applyBorder="1" applyAlignment="1">
      <alignment horizontal="left" vertical="top" wrapText="1"/>
    </xf>
    <xf numFmtId="165" fontId="4" fillId="0" borderId="2" xfId="1" applyNumberFormat="1" applyFont="1" applyBorder="1" applyAlignment="1">
      <alignment vertical="top"/>
    </xf>
    <xf numFmtId="9" fontId="4" fillId="0" borderId="2" xfId="2" applyFont="1" applyFill="1" applyBorder="1" applyAlignment="1">
      <alignment vertical="top"/>
    </xf>
    <xf numFmtId="165" fontId="11" fillId="0" borderId="2" xfId="1" applyNumberFormat="1" applyFont="1" applyFill="1" applyBorder="1" applyAlignment="1">
      <alignment horizontal="right" vertical="top"/>
    </xf>
    <xf numFmtId="0" fontId="5" fillId="0" borderId="2" xfId="0" applyFont="1" applyBorder="1" applyAlignment="1">
      <alignment vertical="top"/>
    </xf>
    <xf numFmtId="0" fontId="4" fillId="0" borderId="3" xfId="0" applyFont="1" applyBorder="1" applyAlignment="1">
      <alignment horizontal="center" vertical="top"/>
    </xf>
    <xf numFmtId="0" fontId="5" fillId="0" borderId="3" xfId="0" applyFont="1" applyBorder="1" applyAlignment="1">
      <alignment vertical="top"/>
    </xf>
    <xf numFmtId="0" fontId="6" fillId="3" borderId="0" xfId="0" applyFont="1" applyFill="1" applyAlignment="1">
      <alignment wrapText="1"/>
    </xf>
    <xf numFmtId="0" fontId="7" fillId="0" borderId="0" xfId="0" applyFont="1" applyFill="1"/>
    <xf numFmtId="0" fontId="6" fillId="0" borderId="5" xfId="0" applyFont="1" applyBorder="1" applyAlignment="1">
      <alignment horizontal="center" wrapText="1"/>
    </xf>
    <xf numFmtId="0" fontId="7" fillId="0" borderId="1" xfId="0" applyFont="1" applyBorder="1" applyAlignment="1">
      <alignment horizontal="center" vertical="center" wrapText="1"/>
    </xf>
    <xf numFmtId="0" fontId="7" fillId="0" borderId="0" xfId="0" applyFont="1" applyAlignment="1">
      <alignment horizontal="center"/>
    </xf>
    <xf numFmtId="0" fontId="2" fillId="0" borderId="1" xfId="0" applyFont="1" applyBorder="1" applyAlignment="1">
      <alignment horizontal="center" vertical="center" wrapText="1"/>
    </xf>
    <xf numFmtId="0" fontId="6" fillId="0" borderId="0" xfId="0" applyFont="1" applyAlignment="1">
      <alignment horizontal="center"/>
    </xf>
    <xf numFmtId="0" fontId="6" fillId="3" borderId="0" xfId="0" applyFont="1" applyFill="1" applyAlignment="1">
      <alignment horizontal="center" wrapText="1"/>
    </xf>
    <xf numFmtId="0" fontId="6" fillId="3" borderId="0" xfId="0" applyFont="1" applyFill="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xdr:col>
      <xdr:colOff>752475</xdr:colOff>
      <xdr:row>2</xdr:row>
      <xdr:rowOff>0</xdr:rowOff>
    </xdr:to>
    <xdr:cxnSp macro="">
      <xdr:nvCxnSpPr>
        <xdr:cNvPr id="2" name="Straight Connector 1">
          <a:extLst>
            <a:ext uri="{FF2B5EF4-FFF2-40B4-BE49-F238E27FC236}">
              <a16:creationId xmlns:a16="http://schemas.microsoft.com/office/drawing/2014/main" id="{F10968D2-8E92-4F8D-8D04-A8964C46ACDF}"/>
            </a:ext>
          </a:extLst>
        </xdr:cNvPr>
        <xdr:cNvCxnSpPr/>
      </xdr:nvCxnSpPr>
      <xdr:spPr>
        <a:xfrm>
          <a:off x="609600" y="409575"/>
          <a:ext cx="752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361950</xdr:colOff>
      <xdr:row>1</xdr:row>
      <xdr:rowOff>200025</xdr:rowOff>
    </xdr:from>
    <xdr:to>
      <xdr:col>9</xdr:col>
      <xdr:colOff>571500</xdr:colOff>
      <xdr:row>2</xdr:row>
      <xdr:rowOff>9525</xdr:rowOff>
    </xdr:to>
    <xdr:cxnSp macro="">
      <xdr:nvCxnSpPr>
        <xdr:cNvPr id="3" name="Straight Connector 2">
          <a:extLst>
            <a:ext uri="{FF2B5EF4-FFF2-40B4-BE49-F238E27FC236}">
              <a16:creationId xmlns:a16="http://schemas.microsoft.com/office/drawing/2014/main" id="{0225F4ED-C5BD-48F6-A7A9-A8A09E77B43D}"/>
            </a:ext>
          </a:extLst>
        </xdr:cNvPr>
        <xdr:cNvCxnSpPr/>
      </xdr:nvCxnSpPr>
      <xdr:spPr>
        <a:xfrm flipV="1">
          <a:off x="4591050" y="400050"/>
          <a:ext cx="202882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4"/>
  <sheetViews>
    <sheetView tabSelected="1" zoomScaleNormal="100" workbookViewId="0">
      <pane xSplit="2" ySplit="7" topLeftCell="C8" activePane="bottomRight" state="frozen"/>
      <selection pane="topRight" activeCell="C1" sqref="C1"/>
      <selection pane="bottomLeft" activeCell="A8" sqref="A8"/>
      <selection pane="bottomRight" activeCell="H11" sqref="H11"/>
    </sheetView>
  </sheetViews>
  <sheetFormatPr defaultColWidth="9.140625" defaultRowHeight="15" x14ac:dyDescent="0.25"/>
  <cols>
    <col min="1" max="1" width="6.85546875" style="2" customWidth="1"/>
    <col min="2" max="2" width="41.85546875" style="2" customWidth="1"/>
    <col min="3" max="3" width="12.7109375" style="2" customWidth="1"/>
    <col min="4" max="4" width="10.5703125" style="2" customWidth="1"/>
    <col min="5" max="6" width="10.7109375" style="2" customWidth="1"/>
    <col min="7" max="7" width="7.85546875" style="2" customWidth="1"/>
    <col min="8" max="8" width="11.42578125" style="2" customWidth="1"/>
    <col min="9" max="9" width="12.7109375" style="2" customWidth="1"/>
    <col min="10" max="10" width="11" style="2" customWidth="1"/>
    <col min="11" max="11" width="10" style="2" customWidth="1"/>
    <col min="12" max="12" width="14.5703125" style="23" hidden="1" customWidth="1"/>
    <col min="13" max="14" width="12.140625" style="23" hidden="1" customWidth="1"/>
    <col min="15" max="17" width="9.140625" style="19" hidden="1" customWidth="1"/>
    <col min="18" max="20" width="9.140625" style="2" hidden="1" customWidth="1"/>
    <col min="21" max="26" width="9.140625" style="19" hidden="1" customWidth="1"/>
    <col min="27" max="27" width="11.85546875" style="2" hidden="1" customWidth="1"/>
    <col min="28" max="28" width="16" style="19" hidden="1" customWidth="1"/>
    <col min="29" max="29" width="13.85546875" style="19" hidden="1" customWidth="1"/>
    <col min="30" max="36" width="9.140625" style="2" hidden="1" customWidth="1"/>
    <col min="37" max="16384" width="9.140625" style="2"/>
  </cols>
  <sheetData>
    <row r="1" spans="1:35" s="5" customFormat="1" ht="15.75" x14ac:dyDescent="0.25">
      <c r="A1" s="4" t="s">
        <v>47</v>
      </c>
      <c r="B1" s="4"/>
      <c r="C1" s="9"/>
      <c r="D1" s="9"/>
      <c r="F1" s="7"/>
      <c r="G1" s="7"/>
      <c r="H1" s="10"/>
      <c r="I1" s="7" t="s">
        <v>44</v>
      </c>
      <c r="J1" s="9"/>
      <c r="L1" s="22"/>
      <c r="M1" s="22"/>
      <c r="N1" s="22"/>
      <c r="O1" s="18"/>
      <c r="P1" s="18"/>
      <c r="Q1" s="18"/>
      <c r="U1" s="18"/>
      <c r="V1" s="18"/>
      <c r="W1" s="18"/>
      <c r="X1" s="18"/>
      <c r="Y1" s="18"/>
      <c r="Z1" s="18"/>
      <c r="AB1" s="18"/>
      <c r="AC1" s="18"/>
    </row>
    <row r="2" spans="1:35" s="5" customFormat="1" ht="16.5" x14ac:dyDescent="0.25">
      <c r="A2" s="6" t="s">
        <v>46</v>
      </c>
      <c r="B2" s="6"/>
      <c r="C2" s="15"/>
      <c r="F2" s="3"/>
      <c r="G2" s="3"/>
      <c r="H2" s="3"/>
      <c r="I2" s="3" t="s">
        <v>45</v>
      </c>
      <c r="L2" s="22"/>
      <c r="M2" s="22"/>
      <c r="N2" s="22"/>
      <c r="O2" s="18" t="s">
        <v>80</v>
      </c>
      <c r="P2" s="18"/>
      <c r="Q2" s="18"/>
      <c r="U2" s="18"/>
      <c r="V2" s="18"/>
      <c r="W2" s="18"/>
      <c r="X2" s="18"/>
      <c r="Y2" s="18"/>
      <c r="Z2" s="18"/>
      <c r="AB2" s="18"/>
      <c r="AC2" s="18"/>
    </row>
    <row r="4" spans="1:35" x14ac:dyDescent="0.25">
      <c r="A4" s="54" t="s">
        <v>60</v>
      </c>
      <c r="B4" s="54"/>
      <c r="C4" s="54"/>
      <c r="D4" s="54"/>
      <c r="E4" s="54"/>
      <c r="F4" s="54"/>
      <c r="G4" s="54"/>
      <c r="H4" s="54"/>
      <c r="I4" s="54"/>
      <c r="J4" s="54"/>
      <c r="K4" s="54"/>
    </row>
    <row r="5" spans="1:35" x14ac:dyDescent="0.25">
      <c r="M5" s="52" t="s">
        <v>84</v>
      </c>
      <c r="N5" s="52"/>
      <c r="O5" s="19" t="s">
        <v>67</v>
      </c>
    </row>
    <row r="6" spans="1:35" ht="15" customHeight="1" x14ac:dyDescent="0.25">
      <c r="A6" s="55" t="s">
        <v>0</v>
      </c>
      <c r="B6" s="55" t="s">
        <v>1</v>
      </c>
      <c r="C6" s="55" t="s">
        <v>58</v>
      </c>
      <c r="D6" s="55" t="s">
        <v>48</v>
      </c>
      <c r="E6" s="55" t="s">
        <v>27</v>
      </c>
      <c r="F6" s="55"/>
      <c r="G6" s="55"/>
      <c r="H6" s="55"/>
      <c r="I6" s="55"/>
      <c r="J6" s="55" t="s">
        <v>49</v>
      </c>
      <c r="K6" s="53" t="s">
        <v>59</v>
      </c>
      <c r="M6" s="55" t="s">
        <v>58</v>
      </c>
      <c r="N6" s="55" t="s">
        <v>48</v>
      </c>
    </row>
    <row r="7" spans="1:35" ht="47.25" customHeight="1" x14ac:dyDescent="0.25">
      <c r="A7" s="55"/>
      <c r="B7" s="55"/>
      <c r="C7" s="55"/>
      <c r="D7" s="55"/>
      <c r="E7" s="1" t="s">
        <v>50</v>
      </c>
      <c r="F7" s="1" t="s">
        <v>51</v>
      </c>
      <c r="G7" s="1" t="s">
        <v>52</v>
      </c>
      <c r="H7" s="11" t="s">
        <v>53</v>
      </c>
      <c r="I7" s="1" t="s">
        <v>57</v>
      </c>
      <c r="J7" s="55"/>
      <c r="K7" s="53"/>
      <c r="M7" s="55"/>
      <c r="N7" s="55"/>
      <c r="O7" s="56" t="s">
        <v>69</v>
      </c>
      <c r="P7" s="56"/>
      <c r="Q7" s="56"/>
      <c r="R7" s="56"/>
      <c r="S7" s="56"/>
      <c r="T7" s="56"/>
    </row>
    <row r="8" spans="1:35" s="14" customFormat="1" ht="25.5" x14ac:dyDescent="0.25">
      <c r="A8" s="12">
        <v>1</v>
      </c>
      <c r="B8" s="12">
        <v>2</v>
      </c>
      <c r="C8" s="12">
        <v>3</v>
      </c>
      <c r="D8" s="12">
        <v>4</v>
      </c>
      <c r="E8" s="11" t="s">
        <v>56</v>
      </c>
      <c r="F8" s="12">
        <v>6</v>
      </c>
      <c r="G8" s="12">
        <v>7</v>
      </c>
      <c r="H8" s="12">
        <v>8</v>
      </c>
      <c r="I8" s="12">
        <v>9</v>
      </c>
      <c r="J8" s="12" t="s">
        <v>54</v>
      </c>
      <c r="K8" s="13" t="s">
        <v>55</v>
      </c>
      <c r="L8" s="24"/>
      <c r="M8" s="24"/>
      <c r="N8" s="24"/>
      <c r="O8" s="20"/>
      <c r="P8" s="20"/>
      <c r="Q8" s="20"/>
      <c r="U8" s="20"/>
      <c r="V8" s="20"/>
      <c r="W8" s="20"/>
      <c r="X8" s="20"/>
      <c r="Y8" s="20"/>
      <c r="Z8" s="20"/>
      <c r="AB8" s="20"/>
      <c r="AC8" s="20"/>
    </row>
    <row r="9" spans="1:35" s="8" customFormat="1" x14ac:dyDescent="0.25">
      <c r="A9" s="26"/>
      <c r="B9" s="27" t="s">
        <v>43</v>
      </c>
      <c r="C9" s="28">
        <f>C29+C10</f>
        <v>1320</v>
      </c>
      <c r="D9" s="28">
        <f t="shared" ref="D9:I9" si="0">D29+D10</f>
        <v>1108</v>
      </c>
      <c r="E9" s="28">
        <f t="shared" si="0"/>
        <v>212</v>
      </c>
      <c r="F9" s="28">
        <f>F29+F10</f>
        <v>13</v>
      </c>
      <c r="G9" s="28">
        <f>G29+G10</f>
        <v>32</v>
      </c>
      <c r="H9" s="28">
        <f t="shared" si="0"/>
        <v>26</v>
      </c>
      <c r="I9" s="28">
        <f t="shared" si="0"/>
        <v>167</v>
      </c>
      <c r="J9" s="29">
        <f t="shared" ref="J9:J26" si="1">D9/C9</f>
        <v>0.83939393939393936</v>
      </c>
      <c r="K9" s="30">
        <f>E9/C9</f>
        <v>0.16060606060606061</v>
      </c>
      <c r="L9" s="25"/>
      <c r="M9" s="25"/>
      <c r="N9" s="25"/>
      <c r="O9" s="19"/>
      <c r="P9" s="19"/>
      <c r="Q9" s="19"/>
      <c r="U9" s="19"/>
      <c r="V9" s="19"/>
      <c r="W9" s="19"/>
      <c r="X9" s="19"/>
      <c r="Y9" s="19"/>
      <c r="Z9" s="19"/>
      <c r="AB9" s="19"/>
      <c r="AC9" s="19"/>
    </row>
    <row r="10" spans="1:35" x14ac:dyDescent="0.25">
      <c r="A10" s="31" t="s">
        <v>30</v>
      </c>
      <c r="B10" s="32" t="s">
        <v>31</v>
      </c>
      <c r="C10" s="33">
        <f>C11+C14-125</f>
        <v>640</v>
      </c>
      <c r="D10" s="33">
        <f>C10-E10</f>
        <v>486</v>
      </c>
      <c r="E10" s="33">
        <f>E11+E14</f>
        <v>154</v>
      </c>
      <c r="F10" s="33">
        <f>F11+F14</f>
        <v>8</v>
      </c>
      <c r="G10" s="33">
        <f>G11+G14</f>
        <v>20</v>
      </c>
      <c r="H10" s="33">
        <f t="shared" ref="H10:I10" si="2">H11+H14</f>
        <v>14</v>
      </c>
      <c r="I10" s="33">
        <f t="shared" si="2"/>
        <v>126</v>
      </c>
      <c r="J10" s="34">
        <f t="shared" si="1"/>
        <v>0.75937500000000002</v>
      </c>
      <c r="K10" s="35">
        <f t="shared" ref="K10:K47" si="3">E10/C10</f>
        <v>0.24062500000000001</v>
      </c>
      <c r="O10" s="19" t="s">
        <v>78</v>
      </c>
      <c r="U10" s="19" t="s">
        <v>79</v>
      </c>
      <c r="AB10" s="58" t="s">
        <v>81</v>
      </c>
      <c r="AC10" s="58"/>
    </row>
    <row r="11" spans="1:35" x14ac:dyDescent="0.25">
      <c r="A11" s="36">
        <v>1</v>
      </c>
      <c r="B11" s="37" t="s">
        <v>32</v>
      </c>
      <c r="C11" s="38">
        <f t="shared" ref="C11:I11" si="4">C12+C13</f>
        <v>501</v>
      </c>
      <c r="D11" s="38">
        <f t="shared" si="4"/>
        <v>417</v>
      </c>
      <c r="E11" s="38">
        <f t="shared" si="4"/>
        <v>84</v>
      </c>
      <c r="F11" s="38">
        <f t="shared" si="4"/>
        <v>8</v>
      </c>
      <c r="G11" s="38">
        <f t="shared" si="4"/>
        <v>19</v>
      </c>
      <c r="H11" s="38">
        <f t="shared" si="4"/>
        <v>14</v>
      </c>
      <c r="I11" s="38">
        <f t="shared" si="4"/>
        <v>57</v>
      </c>
      <c r="J11" s="39">
        <f t="shared" si="1"/>
        <v>0.83233532934131738</v>
      </c>
      <c r="K11" s="40">
        <f t="shared" si="3"/>
        <v>0.16766467065868262</v>
      </c>
      <c r="S11" s="56" t="s">
        <v>63</v>
      </c>
      <c r="T11" s="56"/>
    </row>
    <row r="12" spans="1:35" ht="15" customHeight="1" x14ac:dyDescent="0.25">
      <c r="A12" s="36"/>
      <c r="B12" s="41" t="s">
        <v>61</v>
      </c>
      <c r="C12" s="38">
        <v>5</v>
      </c>
      <c r="D12" s="38">
        <v>1</v>
      </c>
      <c r="E12" s="42">
        <f t="shared" ref="E12" si="5">C12-D12</f>
        <v>4</v>
      </c>
      <c r="F12" s="38">
        <v>3</v>
      </c>
      <c r="G12" s="38">
        <v>1</v>
      </c>
      <c r="H12" s="38"/>
      <c r="I12" s="38"/>
      <c r="J12" s="39">
        <f t="shared" si="1"/>
        <v>0.2</v>
      </c>
      <c r="K12" s="40">
        <f t="shared" si="3"/>
        <v>0.8</v>
      </c>
      <c r="O12" s="19" t="s">
        <v>68</v>
      </c>
      <c r="P12" s="19" t="s">
        <v>92</v>
      </c>
      <c r="Q12" s="19" t="s">
        <v>93</v>
      </c>
      <c r="S12" s="2" t="s">
        <v>83</v>
      </c>
      <c r="T12" s="2" t="s">
        <v>82</v>
      </c>
      <c r="U12" s="19" t="s">
        <v>50</v>
      </c>
      <c r="V12" s="19" t="s">
        <v>70</v>
      </c>
      <c r="W12" s="19" t="s">
        <v>71</v>
      </c>
      <c r="X12" s="19" t="s">
        <v>72</v>
      </c>
      <c r="Y12" s="19" t="s">
        <v>73</v>
      </c>
      <c r="Z12" s="19" t="s">
        <v>74</v>
      </c>
      <c r="AB12" s="57" t="s">
        <v>75</v>
      </c>
      <c r="AC12" s="57" t="s">
        <v>77</v>
      </c>
      <c r="AD12" s="57"/>
      <c r="AE12" s="57"/>
      <c r="AF12" s="57"/>
      <c r="AG12" s="57"/>
      <c r="AH12" s="57"/>
      <c r="AI12" s="57"/>
    </row>
    <row r="13" spans="1:35" x14ac:dyDescent="0.25">
      <c r="A13" s="36"/>
      <c r="B13" s="41" t="s">
        <v>62</v>
      </c>
      <c r="C13" s="38">
        <v>496</v>
      </c>
      <c r="D13" s="38">
        <v>416</v>
      </c>
      <c r="E13" s="42">
        <f>C13-D13</f>
        <v>80</v>
      </c>
      <c r="F13" s="38">
        <v>5</v>
      </c>
      <c r="G13" s="38">
        <v>18</v>
      </c>
      <c r="H13" s="38">
        <v>14</v>
      </c>
      <c r="I13" s="38">
        <v>57</v>
      </c>
      <c r="J13" s="39">
        <f t="shared" si="1"/>
        <v>0.83870967741935487</v>
      </c>
      <c r="K13" s="40">
        <f t="shared" si="3"/>
        <v>0.16129032258064516</v>
      </c>
      <c r="AB13" s="57"/>
      <c r="AC13" s="50" t="s">
        <v>85</v>
      </c>
      <c r="AD13" s="2" t="s">
        <v>86</v>
      </c>
      <c r="AE13" s="2" t="s">
        <v>87</v>
      </c>
      <c r="AF13" s="2" t="s">
        <v>88</v>
      </c>
      <c r="AG13" s="2" t="s">
        <v>89</v>
      </c>
      <c r="AH13" s="2" t="s">
        <v>90</v>
      </c>
      <c r="AI13" s="2" t="s">
        <v>91</v>
      </c>
    </row>
    <row r="14" spans="1:35" ht="59.25" x14ac:dyDescent="0.25">
      <c r="A14" s="36"/>
      <c r="B14" s="43" t="s">
        <v>94</v>
      </c>
      <c r="C14" s="44">
        <f>SUM(C15:C28)</f>
        <v>264</v>
      </c>
      <c r="D14" s="44">
        <f t="shared" ref="D14" si="6">SUM(D15:D28)</f>
        <v>194</v>
      </c>
      <c r="E14" s="42">
        <f t="shared" ref="E14:E28" si="7">U14</f>
        <v>70</v>
      </c>
      <c r="F14" s="42">
        <f t="shared" ref="F14:F28" si="8">V14</f>
        <v>0</v>
      </c>
      <c r="G14" s="42">
        <f t="shared" ref="G14:G28" si="9">W14+X14</f>
        <v>1</v>
      </c>
      <c r="H14" s="42">
        <f t="shared" ref="H14:H28" si="10">X14</f>
        <v>0</v>
      </c>
      <c r="I14" s="42">
        <f t="shared" ref="I14:I28" si="11">Y14+Z14</f>
        <v>69</v>
      </c>
      <c r="J14" s="39">
        <f t="shared" si="1"/>
        <v>0.73484848484848486</v>
      </c>
      <c r="K14" s="39">
        <f t="shared" si="3"/>
        <v>0.26515151515151514</v>
      </c>
      <c r="M14" s="23">
        <v>239</v>
      </c>
      <c r="N14" s="23">
        <v>156</v>
      </c>
      <c r="O14" s="21">
        <v>115</v>
      </c>
      <c r="P14" s="51">
        <v>103</v>
      </c>
      <c r="Q14" s="51">
        <v>158</v>
      </c>
      <c r="R14" s="17"/>
      <c r="S14" s="17">
        <v>1</v>
      </c>
      <c r="T14" s="17">
        <v>69</v>
      </c>
      <c r="U14" s="21">
        <v>70</v>
      </c>
      <c r="V14" s="21">
        <v>0</v>
      </c>
      <c r="W14" s="21">
        <v>1</v>
      </c>
      <c r="X14" s="21">
        <v>0</v>
      </c>
      <c r="Y14" s="21">
        <v>69</v>
      </c>
      <c r="Z14" s="21">
        <v>0</v>
      </c>
      <c r="AB14" s="19">
        <f>SUM(AB15:AB28)</f>
        <v>24</v>
      </c>
      <c r="AC14" s="19">
        <f t="shared" ref="AC14:AI14" si="12">SUM(AC15:AC28)</f>
        <v>100</v>
      </c>
      <c r="AD14" s="19">
        <f t="shared" si="12"/>
        <v>25</v>
      </c>
      <c r="AE14" s="19">
        <f t="shared" si="12"/>
        <v>0</v>
      </c>
      <c r="AF14" s="19">
        <f t="shared" si="12"/>
        <v>0</v>
      </c>
      <c r="AG14" s="19">
        <f t="shared" si="12"/>
        <v>0</v>
      </c>
      <c r="AH14" s="19">
        <f t="shared" si="12"/>
        <v>0</v>
      </c>
      <c r="AI14" s="19">
        <f t="shared" si="12"/>
        <v>0</v>
      </c>
    </row>
    <row r="15" spans="1:35" x14ac:dyDescent="0.25">
      <c r="A15" s="36">
        <v>2</v>
      </c>
      <c r="B15" s="37" t="s">
        <v>33</v>
      </c>
      <c r="C15" s="38">
        <f>O15+AB15+SUM(AC15:AI15)</f>
        <v>4</v>
      </c>
      <c r="D15" s="38">
        <f>C15-E15</f>
        <v>3</v>
      </c>
      <c r="E15" s="42">
        <f t="shared" si="7"/>
        <v>1</v>
      </c>
      <c r="F15" s="42">
        <f t="shared" si="8"/>
        <v>0</v>
      </c>
      <c r="G15" s="42">
        <f t="shared" si="9"/>
        <v>0</v>
      </c>
      <c r="H15" s="42">
        <f t="shared" si="10"/>
        <v>0</v>
      </c>
      <c r="I15" s="42">
        <f t="shared" si="11"/>
        <v>1</v>
      </c>
      <c r="J15" s="45">
        <f t="shared" si="1"/>
        <v>0.75</v>
      </c>
      <c r="K15" s="40">
        <f t="shared" si="3"/>
        <v>0.25</v>
      </c>
      <c r="M15" s="23">
        <v>4</v>
      </c>
      <c r="N15" s="23">
        <v>3</v>
      </c>
      <c r="O15" s="19">
        <v>2</v>
      </c>
      <c r="P15" s="8">
        <v>1</v>
      </c>
      <c r="Q15" s="8">
        <v>2</v>
      </c>
      <c r="S15" s="2">
        <v>0</v>
      </c>
      <c r="T15" s="2">
        <v>1</v>
      </c>
      <c r="U15" s="19">
        <v>1</v>
      </c>
      <c r="V15" s="19">
        <v>0</v>
      </c>
      <c r="W15" s="19">
        <v>0</v>
      </c>
      <c r="X15" s="19">
        <v>0</v>
      </c>
      <c r="Y15" s="19">
        <v>1</v>
      </c>
      <c r="Z15" s="19">
        <v>0</v>
      </c>
      <c r="AC15" s="19">
        <v>2</v>
      </c>
    </row>
    <row r="16" spans="1:35" x14ac:dyDescent="0.25">
      <c r="A16" s="36">
        <v>3</v>
      </c>
      <c r="B16" s="37" t="s">
        <v>34</v>
      </c>
      <c r="C16" s="38">
        <f t="shared" ref="C16:C28" si="13">O16+AB16+SUM(AC16:AI16)</f>
        <v>0</v>
      </c>
      <c r="D16" s="38">
        <f t="shared" ref="D16:D28" si="14">C16-E16</f>
        <v>0</v>
      </c>
      <c r="E16" s="42">
        <f t="shared" si="7"/>
        <v>0</v>
      </c>
      <c r="F16" s="42">
        <f t="shared" si="8"/>
        <v>0</v>
      </c>
      <c r="G16" s="42">
        <f t="shared" si="9"/>
        <v>0</v>
      </c>
      <c r="H16" s="42">
        <f t="shared" si="10"/>
        <v>0</v>
      </c>
      <c r="I16" s="42">
        <f t="shared" si="11"/>
        <v>0</v>
      </c>
      <c r="J16" s="45"/>
      <c r="K16" s="40"/>
      <c r="M16" s="23">
        <v>0</v>
      </c>
      <c r="N16" s="23">
        <v>0</v>
      </c>
      <c r="O16" s="19">
        <v>0</v>
      </c>
      <c r="P16" s="8">
        <v>0</v>
      </c>
      <c r="Q16" s="8">
        <v>0</v>
      </c>
      <c r="S16" s="2">
        <v>0</v>
      </c>
      <c r="T16" s="2">
        <v>0</v>
      </c>
      <c r="U16" s="19">
        <v>0</v>
      </c>
      <c r="V16" s="19">
        <v>0</v>
      </c>
      <c r="W16" s="19">
        <v>0</v>
      </c>
      <c r="X16" s="19">
        <v>0</v>
      </c>
      <c r="Y16" s="19">
        <v>0</v>
      </c>
      <c r="Z16" s="19">
        <v>0</v>
      </c>
    </row>
    <row r="17" spans="1:30" s="8" customFormat="1" x14ac:dyDescent="0.25">
      <c r="A17" s="36">
        <v>4</v>
      </c>
      <c r="B17" s="37" t="s">
        <v>35</v>
      </c>
      <c r="C17" s="38">
        <f t="shared" si="13"/>
        <v>12</v>
      </c>
      <c r="D17" s="38">
        <f t="shared" si="14"/>
        <v>10</v>
      </c>
      <c r="E17" s="42">
        <f t="shared" si="7"/>
        <v>2</v>
      </c>
      <c r="F17" s="42">
        <f t="shared" si="8"/>
        <v>0</v>
      </c>
      <c r="G17" s="42">
        <f t="shared" si="9"/>
        <v>0</v>
      </c>
      <c r="H17" s="42">
        <f t="shared" si="10"/>
        <v>0</v>
      </c>
      <c r="I17" s="42">
        <f t="shared" si="11"/>
        <v>2</v>
      </c>
      <c r="J17" s="45">
        <f t="shared" si="1"/>
        <v>0.83333333333333337</v>
      </c>
      <c r="K17" s="40">
        <f t="shared" si="3"/>
        <v>0.16666666666666666</v>
      </c>
      <c r="L17" s="25"/>
      <c r="M17" s="25">
        <v>12</v>
      </c>
      <c r="N17" s="25">
        <v>10</v>
      </c>
      <c r="O17" s="19">
        <v>6</v>
      </c>
      <c r="P17" s="8">
        <v>7</v>
      </c>
      <c r="Q17" s="8">
        <v>11</v>
      </c>
      <c r="S17" s="8">
        <v>0</v>
      </c>
      <c r="T17" s="8">
        <v>2</v>
      </c>
      <c r="U17" s="19">
        <v>2</v>
      </c>
      <c r="V17" s="19">
        <v>0</v>
      </c>
      <c r="W17" s="19">
        <v>0</v>
      </c>
      <c r="X17" s="19">
        <v>0</v>
      </c>
      <c r="Y17" s="19">
        <v>2</v>
      </c>
      <c r="Z17" s="19">
        <v>0</v>
      </c>
      <c r="AB17" s="19"/>
      <c r="AC17" s="19">
        <v>6</v>
      </c>
    </row>
    <row r="18" spans="1:30" s="8" customFormat="1" x14ac:dyDescent="0.25">
      <c r="A18" s="36">
        <v>5</v>
      </c>
      <c r="B18" s="37" t="s">
        <v>64</v>
      </c>
      <c r="C18" s="38">
        <f t="shared" si="13"/>
        <v>5</v>
      </c>
      <c r="D18" s="38">
        <f t="shared" si="14"/>
        <v>5</v>
      </c>
      <c r="E18" s="42">
        <f t="shared" si="7"/>
        <v>0</v>
      </c>
      <c r="F18" s="42">
        <f t="shared" si="8"/>
        <v>0</v>
      </c>
      <c r="G18" s="42">
        <f t="shared" si="9"/>
        <v>0</v>
      </c>
      <c r="H18" s="42">
        <f t="shared" si="10"/>
        <v>0</v>
      </c>
      <c r="I18" s="42">
        <f t="shared" si="11"/>
        <v>0</v>
      </c>
      <c r="J18" s="45">
        <f t="shared" ref="J18" si="15">D18/C18</f>
        <v>1</v>
      </c>
      <c r="K18" s="40">
        <f t="shared" ref="K18" si="16">E18/C18</f>
        <v>0</v>
      </c>
      <c r="L18" s="25"/>
      <c r="M18" s="25">
        <v>5</v>
      </c>
      <c r="N18" s="25">
        <v>5</v>
      </c>
      <c r="O18" s="19">
        <v>0</v>
      </c>
      <c r="P18" s="8">
        <v>1</v>
      </c>
      <c r="Q18" s="8">
        <v>1</v>
      </c>
      <c r="S18" s="8">
        <v>0</v>
      </c>
      <c r="T18" s="8">
        <v>0</v>
      </c>
      <c r="U18" s="19">
        <v>0</v>
      </c>
      <c r="V18" s="19">
        <v>0</v>
      </c>
      <c r="W18" s="19">
        <v>0</v>
      </c>
      <c r="X18" s="19">
        <v>0</v>
      </c>
      <c r="Y18" s="19">
        <v>0</v>
      </c>
      <c r="Z18" s="19">
        <v>0</v>
      </c>
      <c r="AB18" s="19">
        <v>1</v>
      </c>
      <c r="AC18" s="19">
        <v>4</v>
      </c>
    </row>
    <row r="19" spans="1:30" s="8" customFormat="1" x14ac:dyDescent="0.25">
      <c r="A19" s="36">
        <v>6</v>
      </c>
      <c r="B19" s="37" t="s">
        <v>37</v>
      </c>
      <c r="C19" s="38">
        <f t="shared" si="13"/>
        <v>74</v>
      </c>
      <c r="D19" s="38">
        <f t="shared" si="14"/>
        <v>55</v>
      </c>
      <c r="E19" s="42">
        <f t="shared" si="7"/>
        <v>19</v>
      </c>
      <c r="F19" s="42">
        <f t="shared" si="8"/>
        <v>0</v>
      </c>
      <c r="G19" s="42">
        <f t="shared" si="9"/>
        <v>0</v>
      </c>
      <c r="H19" s="42">
        <f t="shared" si="10"/>
        <v>0</v>
      </c>
      <c r="I19" s="42">
        <f t="shared" si="11"/>
        <v>19</v>
      </c>
      <c r="J19" s="45">
        <f t="shared" si="1"/>
        <v>0.7432432432432432</v>
      </c>
      <c r="K19" s="40">
        <f t="shared" si="3"/>
        <v>0.25675675675675674</v>
      </c>
      <c r="L19" s="25"/>
      <c r="M19" s="25">
        <v>63</v>
      </c>
      <c r="N19" s="25">
        <v>41</v>
      </c>
      <c r="O19" s="19">
        <v>40</v>
      </c>
      <c r="P19" s="8">
        <v>22</v>
      </c>
      <c r="Q19" s="8">
        <v>50</v>
      </c>
      <c r="S19" s="8">
        <v>0</v>
      </c>
      <c r="T19" s="8">
        <v>19</v>
      </c>
      <c r="U19" s="19">
        <v>19</v>
      </c>
      <c r="V19" s="19">
        <v>0</v>
      </c>
      <c r="W19" s="19">
        <v>0</v>
      </c>
      <c r="X19" s="19">
        <v>0</v>
      </c>
      <c r="Y19" s="19">
        <v>19</v>
      </c>
      <c r="Z19" s="19">
        <v>0</v>
      </c>
      <c r="AB19" s="19"/>
      <c r="AC19" s="19">
        <v>23</v>
      </c>
      <c r="AD19" s="8">
        <v>11</v>
      </c>
    </row>
    <row r="20" spans="1:30" s="8" customFormat="1" x14ac:dyDescent="0.25">
      <c r="A20" s="36">
        <v>7</v>
      </c>
      <c r="B20" s="37" t="s">
        <v>38</v>
      </c>
      <c r="C20" s="38">
        <f t="shared" si="13"/>
        <v>12</v>
      </c>
      <c r="D20" s="38">
        <f t="shared" si="14"/>
        <v>12</v>
      </c>
      <c r="E20" s="42">
        <f t="shared" si="7"/>
        <v>0</v>
      </c>
      <c r="F20" s="42">
        <f t="shared" si="8"/>
        <v>0</v>
      </c>
      <c r="G20" s="42">
        <f t="shared" si="9"/>
        <v>0</v>
      </c>
      <c r="H20" s="42">
        <f t="shared" si="10"/>
        <v>0</v>
      </c>
      <c r="I20" s="42">
        <f t="shared" si="11"/>
        <v>0</v>
      </c>
      <c r="J20" s="45">
        <f t="shared" si="1"/>
        <v>1</v>
      </c>
      <c r="K20" s="40">
        <f t="shared" si="3"/>
        <v>0</v>
      </c>
      <c r="L20" s="25"/>
      <c r="M20" s="25">
        <v>12</v>
      </c>
      <c r="N20" s="25">
        <v>11</v>
      </c>
      <c r="O20" s="19">
        <v>6</v>
      </c>
      <c r="P20" s="8">
        <v>5</v>
      </c>
      <c r="Q20" s="8">
        <v>11</v>
      </c>
      <c r="S20" s="8">
        <v>0</v>
      </c>
      <c r="T20" s="8">
        <v>0</v>
      </c>
      <c r="U20" s="19">
        <v>0</v>
      </c>
      <c r="V20" s="19">
        <v>0</v>
      </c>
      <c r="W20" s="19">
        <v>0</v>
      </c>
      <c r="X20" s="19">
        <v>0</v>
      </c>
      <c r="Y20" s="19">
        <v>0</v>
      </c>
      <c r="Z20" s="19">
        <v>0</v>
      </c>
      <c r="AB20" s="19"/>
      <c r="AC20" s="19">
        <v>6</v>
      </c>
    </row>
    <row r="21" spans="1:30" s="8" customFormat="1" x14ac:dyDescent="0.25">
      <c r="A21" s="36">
        <v>8</v>
      </c>
      <c r="B21" s="37" t="s">
        <v>39</v>
      </c>
      <c r="C21" s="38">
        <f t="shared" si="13"/>
        <v>31</v>
      </c>
      <c r="D21" s="38">
        <f t="shared" si="14"/>
        <v>27</v>
      </c>
      <c r="E21" s="42">
        <f t="shared" si="7"/>
        <v>4</v>
      </c>
      <c r="F21" s="42">
        <f t="shared" si="8"/>
        <v>0</v>
      </c>
      <c r="G21" s="42">
        <f t="shared" si="9"/>
        <v>0</v>
      </c>
      <c r="H21" s="42">
        <f t="shared" si="10"/>
        <v>0</v>
      </c>
      <c r="I21" s="42">
        <f t="shared" si="11"/>
        <v>4</v>
      </c>
      <c r="J21" s="45">
        <f t="shared" si="1"/>
        <v>0.87096774193548387</v>
      </c>
      <c r="K21" s="40">
        <f t="shared" si="3"/>
        <v>0.12903225806451613</v>
      </c>
      <c r="L21" s="25"/>
      <c r="M21" s="25">
        <v>26</v>
      </c>
      <c r="N21" s="25">
        <v>22</v>
      </c>
      <c r="O21" s="19">
        <v>16</v>
      </c>
      <c r="P21" s="8">
        <v>12</v>
      </c>
      <c r="Q21" s="8">
        <v>24</v>
      </c>
      <c r="S21" s="8">
        <v>0</v>
      </c>
      <c r="T21" s="8">
        <v>4</v>
      </c>
      <c r="U21" s="19">
        <v>4</v>
      </c>
      <c r="V21" s="19">
        <v>0</v>
      </c>
      <c r="W21" s="19">
        <v>0</v>
      </c>
      <c r="X21" s="19">
        <v>0</v>
      </c>
      <c r="Y21" s="19">
        <v>4</v>
      </c>
      <c r="Z21" s="19">
        <v>0</v>
      </c>
      <c r="AB21" s="19"/>
      <c r="AC21" s="19">
        <v>10</v>
      </c>
      <c r="AD21" s="8">
        <v>5</v>
      </c>
    </row>
    <row r="22" spans="1:30" s="8" customFormat="1" x14ac:dyDescent="0.25">
      <c r="A22" s="36">
        <v>9</v>
      </c>
      <c r="B22" s="37" t="s">
        <v>40</v>
      </c>
      <c r="C22" s="38">
        <f t="shared" si="13"/>
        <v>62</v>
      </c>
      <c r="D22" s="38">
        <f t="shared" si="14"/>
        <v>25</v>
      </c>
      <c r="E22" s="42">
        <f t="shared" si="7"/>
        <v>37</v>
      </c>
      <c r="F22" s="42">
        <f t="shared" si="8"/>
        <v>0</v>
      </c>
      <c r="G22" s="42">
        <f t="shared" si="9"/>
        <v>0</v>
      </c>
      <c r="H22" s="42">
        <f t="shared" si="10"/>
        <v>0</v>
      </c>
      <c r="I22" s="42">
        <f t="shared" si="11"/>
        <v>37</v>
      </c>
      <c r="J22" s="45">
        <f t="shared" si="1"/>
        <v>0.40322580645161288</v>
      </c>
      <c r="K22" s="40">
        <f t="shared" si="3"/>
        <v>0.59677419354838712</v>
      </c>
      <c r="L22" s="25"/>
      <c r="M22" s="25">
        <v>59</v>
      </c>
      <c r="N22" s="25">
        <v>19</v>
      </c>
      <c r="O22" s="19">
        <v>36</v>
      </c>
      <c r="P22" s="8">
        <v>13</v>
      </c>
      <c r="Q22" s="8">
        <v>12</v>
      </c>
      <c r="S22" s="8">
        <v>0</v>
      </c>
      <c r="T22" s="8">
        <v>37</v>
      </c>
      <c r="U22" s="19">
        <v>37</v>
      </c>
      <c r="V22" s="19">
        <v>0</v>
      </c>
      <c r="W22" s="19">
        <v>0</v>
      </c>
      <c r="X22" s="19">
        <v>0</v>
      </c>
      <c r="Y22" s="19">
        <v>37</v>
      </c>
      <c r="Z22" s="19">
        <v>0</v>
      </c>
      <c r="AB22" s="19"/>
      <c r="AC22" s="19">
        <v>23</v>
      </c>
      <c r="AD22" s="8">
        <v>3</v>
      </c>
    </row>
    <row r="23" spans="1:30" s="8" customFormat="1" x14ac:dyDescent="0.25">
      <c r="A23" s="36">
        <v>10</v>
      </c>
      <c r="B23" s="37" t="s">
        <v>41</v>
      </c>
      <c r="C23" s="38">
        <f t="shared" si="13"/>
        <v>22</v>
      </c>
      <c r="D23" s="38">
        <f t="shared" si="14"/>
        <v>17</v>
      </c>
      <c r="E23" s="42">
        <f t="shared" si="7"/>
        <v>5</v>
      </c>
      <c r="F23" s="42">
        <f t="shared" si="8"/>
        <v>0</v>
      </c>
      <c r="G23" s="42">
        <f t="shared" si="9"/>
        <v>0</v>
      </c>
      <c r="H23" s="42">
        <f t="shared" si="10"/>
        <v>0</v>
      </c>
      <c r="I23" s="42">
        <f t="shared" si="11"/>
        <v>5</v>
      </c>
      <c r="J23" s="45">
        <f t="shared" si="1"/>
        <v>0.77272727272727271</v>
      </c>
      <c r="K23" s="40">
        <f t="shared" si="3"/>
        <v>0.22727272727272727</v>
      </c>
      <c r="L23" s="25"/>
      <c r="M23" s="25">
        <v>16</v>
      </c>
      <c r="N23" s="25">
        <v>5</v>
      </c>
      <c r="O23" s="19">
        <v>1</v>
      </c>
      <c r="P23" s="8">
        <v>15</v>
      </c>
      <c r="Q23" s="8">
        <v>14</v>
      </c>
      <c r="S23" s="8">
        <v>0</v>
      </c>
      <c r="T23" s="8">
        <v>5</v>
      </c>
      <c r="U23" s="19">
        <v>5</v>
      </c>
      <c r="V23" s="19">
        <v>0</v>
      </c>
      <c r="W23" s="19">
        <v>0</v>
      </c>
      <c r="X23" s="19">
        <v>0</v>
      </c>
      <c r="Y23" s="19">
        <v>5</v>
      </c>
      <c r="Z23" s="19">
        <v>0</v>
      </c>
      <c r="AB23" s="19"/>
      <c r="AC23" s="19">
        <v>15</v>
      </c>
      <c r="AD23" s="8">
        <v>6</v>
      </c>
    </row>
    <row r="24" spans="1:30" s="8" customFormat="1" x14ac:dyDescent="0.25">
      <c r="A24" s="36">
        <v>11</v>
      </c>
      <c r="B24" s="37" t="s">
        <v>36</v>
      </c>
      <c r="C24" s="38">
        <f t="shared" si="13"/>
        <v>15</v>
      </c>
      <c r="D24" s="38">
        <f t="shared" si="14"/>
        <v>15</v>
      </c>
      <c r="E24" s="42">
        <f t="shared" si="7"/>
        <v>0</v>
      </c>
      <c r="F24" s="42">
        <f t="shared" si="8"/>
        <v>0</v>
      </c>
      <c r="G24" s="42">
        <f t="shared" si="9"/>
        <v>0</v>
      </c>
      <c r="H24" s="42">
        <f t="shared" si="10"/>
        <v>0</v>
      </c>
      <c r="I24" s="42">
        <f t="shared" si="11"/>
        <v>0</v>
      </c>
      <c r="J24" s="45">
        <f t="shared" si="1"/>
        <v>1</v>
      </c>
      <c r="K24" s="40">
        <f t="shared" si="3"/>
        <v>0</v>
      </c>
      <c r="L24" s="25"/>
      <c r="M24" s="25">
        <v>15</v>
      </c>
      <c r="N24" s="25">
        <v>15</v>
      </c>
      <c r="O24" s="19">
        <v>7</v>
      </c>
      <c r="P24" s="8">
        <v>3</v>
      </c>
      <c r="Q24" s="8">
        <v>10</v>
      </c>
      <c r="S24" s="8">
        <v>0</v>
      </c>
      <c r="T24" s="8">
        <v>0</v>
      </c>
      <c r="U24" s="19">
        <v>0</v>
      </c>
      <c r="V24" s="19">
        <v>0</v>
      </c>
      <c r="W24" s="19">
        <v>0</v>
      </c>
      <c r="X24" s="19">
        <v>0</v>
      </c>
      <c r="Y24" s="19">
        <v>0</v>
      </c>
      <c r="Z24" s="19">
        <v>0</v>
      </c>
      <c r="AB24" s="19"/>
      <c r="AC24" s="19">
        <v>8</v>
      </c>
    </row>
    <row r="25" spans="1:30" s="8" customFormat="1" ht="15" customHeight="1" x14ac:dyDescent="0.25">
      <c r="A25" s="36">
        <v>12</v>
      </c>
      <c r="B25" s="37" t="s">
        <v>76</v>
      </c>
      <c r="C25" s="38">
        <f t="shared" si="13"/>
        <v>24</v>
      </c>
      <c r="D25" s="38">
        <f t="shared" si="14"/>
        <v>22</v>
      </c>
      <c r="E25" s="42">
        <f t="shared" si="7"/>
        <v>2</v>
      </c>
      <c r="F25" s="42">
        <f t="shared" si="8"/>
        <v>0</v>
      </c>
      <c r="G25" s="42">
        <f t="shared" si="9"/>
        <v>1</v>
      </c>
      <c r="H25" s="42">
        <f t="shared" si="10"/>
        <v>0</v>
      </c>
      <c r="I25" s="42">
        <f t="shared" si="11"/>
        <v>1</v>
      </c>
      <c r="J25" s="45">
        <f t="shared" si="1"/>
        <v>0.91666666666666663</v>
      </c>
      <c r="K25" s="40">
        <f t="shared" si="3"/>
        <v>8.3333333333333329E-2</v>
      </c>
      <c r="L25" s="25"/>
      <c r="M25" s="25">
        <v>24</v>
      </c>
      <c r="N25" s="25">
        <v>22</v>
      </c>
      <c r="O25" s="19">
        <v>1</v>
      </c>
      <c r="P25" s="8">
        <v>23</v>
      </c>
      <c r="Q25" s="8">
        <v>22</v>
      </c>
      <c r="R25" s="16"/>
      <c r="S25" s="8">
        <v>1</v>
      </c>
      <c r="T25" s="8">
        <v>1</v>
      </c>
      <c r="U25" s="19">
        <v>2</v>
      </c>
      <c r="V25" s="19">
        <v>0</v>
      </c>
      <c r="W25" s="19">
        <v>1</v>
      </c>
      <c r="X25" s="19">
        <v>0</v>
      </c>
      <c r="Y25" s="19">
        <v>1</v>
      </c>
      <c r="Z25" s="19">
        <v>0</v>
      </c>
      <c r="AB25" s="19">
        <v>23</v>
      </c>
      <c r="AC25" s="19"/>
    </row>
    <row r="26" spans="1:30" x14ac:dyDescent="0.25">
      <c r="A26" s="36">
        <v>13</v>
      </c>
      <c r="B26" s="37" t="s">
        <v>42</v>
      </c>
      <c r="C26" s="38">
        <f t="shared" si="13"/>
        <v>3</v>
      </c>
      <c r="D26" s="38">
        <f t="shared" si="14"/>
        <v>3</v>
      </c>
      <c r="E26" s="42">
        <f t="shared" si="7"/>
        <v>0</v>
      </c>
      <c r="F26" s="42">
        <f t="shared" si="8"/>
        <v>0</v>
      </c>
      <c r="G26" s="42">
        <f t="shared" si="9"/>
        <v>0</v>
      </c>
      <c r="H26" s="42">
        <f t="shared" si="10"/>
        <v>0</v>
      </c>
      <c r="I26" s="42">
        <f t="shared" si="11"/>
        <v>0</v>
      </c>
      <c r="J26" s="45">
        <f t="shared" si="1"/>
        <v>1</v>
      </c>
      <c r="K26" s="40">
        <f t="shared" si="3"/>
        <v>0</v>
      </c>
      <c r="M26" s="23">
        <v>3</v>
      </c>
      <c r="N26" s="23">
        <v>3</v>
      </c>
      <c r="O26" s="19">
        <v>0</v>
      </c>
      <c r="P26" s="8">
        <v>1</v>
      </c>
      <c r="Q26" s="8">
        <v>1</v>
      </c>
      <c r="S26" s="2">
        <v>0</v>
      </c>
      <c r="T26" s="2">
        <v>0</v>
      </c>
      <c r="U26" s="19">
        <v>0</v>
      </c>
      <c r="V26" s="19">
        <v>0</v>
      </c>
      <c r="W26" s="19">
        <v>0</v>
      </c>
      <c r="X26" s="19">
        <v>0</v>
      </c>
      <c r="Y26" s="19">
        <v>0</v>
      </c>
      <c r="Z26" s="19">
        <v>0</v>
      </c>
      <c r="AC26" s="19">
        <v>3</v>
      </c>
    </row>
    <row r="27" spans="1:30" x14ac:dyDescent="0.25">
      <c r="A27" s="36"/>
      <c r="B27" s="37" t="s">
        <v>65</v>
      </c>
      <c r="C27" s="38">
        <f t="shared" si="13"/>
        <v>0</v>
      </c>
      <c r="D27" s="38">
        <f t="shared" si="14"/>
        <v>0</v>
      </c>
      <c r="E27" s="42">
        <f t="shared" si="7"/>
        <v>0</v>
      </c>
      <c r="F27" s="42">
        <f t="shared" si="8"/>
        <v>0</v>
      </c>
      <c r="G27" s="42">
        <f t="shared" si="9"/>
        <v>0</v>
      </c>
      <c r="H27" s="42">
        <f t="shared" si="10"/>
        <v>0</v>
      </c>
      <c r="I27" s="42">
        <f t="shared" si="11"/>
        <v>0</v>
      </c>
      <c r="J27" s="45"/>
      <c r="K27" s="40"/>
      <c r="M27" s="23">
        <v>0</v>
      </c>
      <c r="N27" s="23">
        <v>0</v>
      </c>
      <c r="O27" s="19">
        <v>0</v>
      </c>
      <c r="P27" s="8">
        <v>0</v>
      </c>
      <c r="Q27" s="8">
        <v>0</v>
      </c>
      <c r="S27" s="2">
        <v>0</v>
      </c>
      <c r="T27" s="2">
        <v>0</v>
      </c>
      <c r="U27" s="19">
        <v>0</v>
      </c>
      <c r="V27" s="19">
        <v>0</v>
      </c>
      <c r="W27" s="19">
        <v>0</v>
      </c>
      <c r="X27" s="19">
        <v>0</v>
      </c>
      <c r="Y27" s="19">
        <v>0</v>
      </c>
      <c r="Z27" s="19">
        <v>0</v>
      </c>
    </row>
    <row r="28" spans="1:30" x14ac:dyDescent="0.25">
      <c r="A28" s="36"/>
      <c r="B28" s="37" t="s">
        <v>66</v>
      </c>
      <c r="C28" s="38">
        <f t="shared" si="13"/>
        <v>0</v>
      </c>
      <c r="D28" s="38">
        <f t="shared" si="14"/>
        <v>0</v>
      </c>
      <c r="E28" s="42">
        <f t="shared" si="7"/>
        <v>0</v>
      </c>
      <c r="F28" s="42">
        <f t="shared" si="8"/>
        <v>0</v>
      </c>
      <c r="G28" s="42">
        <f t="shared" si="9"/>
        <v>0</v>
      </c>
      <c r="H28" s="42">
        <f t="shared" si="10"/>
        <v>0</v>
      </c>
      <c r="I28" s="42">
        <f t="shared" si="11"/>
        <v>0</v>
      </c>
      <c r="J28" s="45"/>
      <c r="K28" s="40"/>
      <c r="M28" s="23">
        <v>0</v>
      </c>
      <c r="N28" s="23">
        <v>0</v>
      </c>
      <c r="O28" s="19">
        <v>0</v>
      </c>
      <c r="P28" s="8">
        <v>0</v>
      </c>
      <c r="Q28" s="8">
        <v>0</v>
      </c>
      <c r="S28" s="2">
        <v>0</v>
      </c>
      <c r="T28" s="2">
        <v>0</v>
      </c>
      <c r="U28" s="19">
        <v>0</v>
      </c>
      <c r="V28" s="19">
        <v>0</v>
      </c>
      <c r="W28" s="19">
        <v>0</v>
      </c>
      <c r="X28" s="19">
        <v>0</v>
      </c>
      <c r="Y28" s="19">
        <v>0</v>
      </c>
      <c r="Z28" s="19">
        <v>0</v>
      </c>
    </row>
    <row r="29" spans="1:30" x14ac:dyDescent="0.25">
      <c r="A29" s="31" t="s">
        <v>29</v>
      </c>
      <c r="B29" s="32" t="s">
        <v>28</v>
      </c>
      <c r="C29" s="46">
        <f t="shared" ref="C29:D29" si="17">SUM(C30:C54)</f>
        <v>680</v>
      </c>
      <c r="D29" s="46">
        <f t="shared" si="17"/>
        <v>622</v>
      </c>
      <c r="E29" s="46">
        <f>SUM(E30:E54)</f>
        <v>58</v>
      </c>
      <c r="F29" s="46">
        <f t="shared" ref="F29:I29" si="18">SUM(F30:F54)</f>
        <v>5</v>
      </c>
      <c r="G29" s="46">
        <f t="shared" si="18"/>
        <v>12</v>
      </c>
      <c r="H29" s="46">
        <f t="shared" si="18"/>
        <v>12</v>
      </c>
      <c r="I29" s="46">
        <f t="shared" si="18"/>
        <v>41</v>
      </c>
      <c r="J29" s="34">
        <f>D29/C29</f>
        <v>0.91470588235294115</v>
      </c>
      <c r="K29" s="35">
        <f t="shared" si="3"/>
        <v>8.5294117647058826E-2</v>
      </c>
      <c r="M29" s="23">
        <v>28</v>
      </c>
      <c r="N29" s="23">
        <v>56</v>
      </c>
      <c r="O29" s="21">
        <v>28</v>
      </c>
      <c r="P29" s="21">
        <v>652</v>
      </c>
      <c r="Q29" s="21">
        <v>622</v>
      </c>
      <c r="R29" s="17"/>
      <c r="S29" s="17">
        <v>41</v>
      </c>
      <c r="T29" s="17">
        <v>17</v>
      </c>
      <c r="U29" s="21">
        <v>58</v>
      </c>
      <c r="V29" s="21">
        <v>5</v>
      </c>
      <c r="W29" s="21">
        <v>0</v>
      </c>
      <c r="X29" s="21">
        <v>12</v>
      </c>
      <c r="Y29" s="21">
        <v>41</v>
      </c>
      <c r="Z29" s="21">
        <v>0</v>
      </c>
    </row>
    <row r="30" spans="1:30" ht="15.75" x14ac:dyDescent="0.25">
      <c r="A30" s="36">
        <v>1</v>
      </c>
      <c r="B30" s="47" t="s">
        <v>2</v>
      </c>
      <c r="C30" s="38">
        <f>O30+P30</f>
        <v>22</v>
      </c>
      <c r="D30" s="38">
        <f>Q30</f>
        <v>22</v>
      </c>
      <c r="E30" s="42">
        <f>U30</f>
        <v>0</v>
      </c>
      <c r="F30" s="42">
        <f>V30</f>
        <v>0</v>
      </c>
      <c r="G30" s="42">
        <f>W30+X30</f>
        <v>0</v>
      </c>
      <c r="H30" s="42">
        <f>X30</f>
        <v>0</v>
      </c>
      <c r="I30" s="42">
        <f>Y30+Z30</f>
        <v>0</v>
      </c>
      <c r="J30" s="39">
        <f t="shared" ref="J30" si="19">D30/C30</f>
        <v>1</v>
      </c>
      <c r="K30" s="40">
        <f t="shared" ref="K30" si="20">E30/C30</f>
        <v>0</v>
      </c>
      <c r="M30" s="23">
        <v>0</v>
      </c>
      <c r="N30" s="23">
        <v>0</v>
      </c>
      <c r="O30" s="19">
        <v>0</v>
      </c>
      <c r="P30" s="19">
        <v>22</v>
      </c>
      <c r="Q30" s="19">
        <v>22</v>
      </c>
      <c r="S30" s="2">
        <v>0</v>
      </c>
      <c r="T30" s="2">
        <v>0</v>
      </c>
      <c r="U30" s="19">
        <v>0</v>
      </c>
      <c r="V30" s="19">
        <v>0</v>
      </c>
      <c r="W30" s="19">
        <v>0</v>
      </c>
      <c r="X30" s="19">
        <v>0</v>
      </c>
      <c r="Y30" s="19">
        <v>0</v>
      </c>
      <c r="Z30" s="19">
        <v>0</v>
      </c>
    </row>
    <row r="31" spans="1:30" ht="15.75" x14ac:dyDescent="0.25">
      <c r="A31" s="36">
        <v>2</v>
      </c>
      <c r="B31" s="47" t="s">
        <v>3</v>
      </c>
      <c r="C31" s="38">
        <f t="shared" ref="C31:C54" si="21">O31+P31</f>
        <v>24</v>
      </c>
      <c r="D31" s="38">
        <f t="shared" ref="D31:D54" si="22">Q31</f>
        <v>20</v>
      </c>
      <c r="E31" s="42">
        <f t="shared" ref="E31:E54" si="23">U31</f>
        <v>4</v>
      </c>
      <c r="F31" s="42">
        <f t="shared" ref="F31:F54" si="24">V31</f>
        <v>1</v>
      </c>
      <c r="G31" s="42">
        <f t="shared" ref="G31:G54" si="25">W31+X31</f>
        <v>0</v>
      </c>
      <c r="H31" s="42">
        <f t="shared" ref="H31:H54" si="26">X31</f>
        <v>0</v>
      </c>
      <c r="I31" s="42">
        <f t="shared" ref="I31:I54" si="27">Y31+Z31</f>
        <v>3</v>
      </c>
      <c r="J31" s="39">
        <f t="shared" ref="J31:J47" si="28">D31/C31</f>
        <v>0.83333333333333337</v>
      </c>
      <c r="K31" s="40">
        <f t="shared" si="3"/>
        <v>0.16666666666666666</v>
      </c>
      <c r="M31" s="23">
        <v>0</v>
      </c>
      <c r="N31" s="23">
        <v>0</v>
      </c>
      <c r="O31" s="19">
        <v>0</v>
      </c>
      <c r="P31" s="19">
        <v>24</v>
      </c>
      <c r="Q31" s="19">
        <v>20</v>
      </c>
      <c r="S31" s="2">
        <v>4</v>
      </c>
      <c r="T31" s="2">
        <v>0</v>
      </c>
      <c r="U31" s="19">
        <v>4</v>
      </c>
      <c r="V31" s="19">
        <v>1</v>
      </c>
      <c r="W31" s="19">
        <v>0</v>
      </c>
      <c r="X31" s="19">
        <v>0</v>
      </c>
      <c r="Y31" s="19">
        <v>3</v>
      </c>
      <c r="Z31" s="19">
        <v>0</v>
      </c>
    </row>
    <row r="32" spans="1:30" ht="15.75" x14ac:dyDescent="0.25">
      <c r="A32" s="36">
        <v>3</v>
      </c>
      <c r="B32" s="47" t="s">
        <v>4</v>
      </c>
      <c r="C32" s="38">
        <f t="shared" si="21"/>
        <v>42</v>
      </c>
      <c r="D32" s="38">
        <f t="shared" si="22"/>
        <v>35</v>
      </c>
      <c r="E32" s="42">
        <f t="shared" si="23"/>
        <v>7</v>
      </c>
      <c r="F32" s="42">
        <f t="shared" si="24"/>
        <v>0</v>
      </c>
      <c r="G32" s="42">
        <f t="shared" si="25"/>
        <v>1</v>
      </c>
      <c r="H32" s="42">
        <f t="shared" si="26"/>
        <v>1</v>
      </c>
      <c r="I32" s="42">
        <f t="shared" si="27"/>
        <v>6</v>
      </c>
      <c r="J32" s="39">
        <f t="shared" si="28"/>
        <v>0.83333333333333337</v>
      </c>
      <c r="K32" s="40">
        <f>E32/C32</f>
        <v>0.16666666666666666</v>
      </c>
      <c r="M32" s="23">
        <v>1</v>
      </c>
      <c r="N32" s="23">
        <v>7</v>
      </c>
      <c r="O32" s="19">
        <v>1</v>
      </c>
      <c r="P32" s="19">
        <v>41</v>
      </c>
      <c r="Q32" s="19">
        <v>35</v>
      </c>
      <c r="S32" s="2">
        <v>7</v>
      </c>
      <c r="T32" s="2">
        <v>0</v>
      </c>
      <c r="U32" s="19">
        <v>7</v>
      </c>
      <c r="V32" s="19">
        <v>0</v>
      </c>
      <c r="W32" s="19">
        <v>0</v>
      </c>
      <c r="X32" s="19">
        <v>1</v>
      </c>
      <c r="Y32" s="19">
        <v>6</v>
      </c>
      <c r="Z32" s="19">
        <v>0</v>
      </c>
    </row>
    <row r="33" spans="1:26" ht="15.75" x14ac:dyDescent="0.25">
      <c r="A33" s="36">
        <v>4</v>
      </c>
      <c r="B33" s="47" t="s">
        <v>5</v>
      </c>
      <c r="C33" s="38">
        <f t="shared" si="21"/>
        <v>53</v>
      </c>
      <c r="D33" s="38">
        <f t="shared" si="22"/>
        <v>49</v>
      </c>
      <c r="E33" s="42">
        <f t="shared" si="23"/>
        <v>4</v>
      </c>
      <c r="F33" s="42">
        <f t="shared" si="24"/>
        <v>0</v>
      </c>
      <c r="G33" s="42">
        <f t="shared" si="25"/>
        <v>2</v>
      </c>
      <c r="H33" s="42">
        <f t="shared" si="26"/>
        <v>2</v>
      </c>
      <c r="I33" s="42">
        <f t="shared" si="27"/>
        <v>2</v>
      </c>
      <c r="J33" s="39">
        <f t="shared" si="28"/>
        <v>0.92452830188679247</v>
      </c>
      <c r="K33" s="40">
        <f t="shared" si="3"/>
        <v>7.5471698113207544E-2</v>
      </c>
      <c r="M33" s="23">
        <v>0</v>
      </c>
      <c r="N33" s="23">
        <v>4</v>
      </c>
      <c r="O33" s="19">
        <v>0</v>
      </c>
      <c r="P33" s="19">
        <v>53</v>
      </c>
      <c r="Q33" s="19">
        <v>49</v>
      </c>
      <c r="S33" s="2">
        <v>4</v>
      </c>
      <c r="T33" s="2">
        <v>0</v>
      </c>
      <c r="U33" s="19">
        <v>4</v>
      </c>
      <c r="V33" s="19">
        <v>0</v>
      </c>
      <c r="W33" s="19">
        <v>0</v>
      </c>
      <c r="X33" s="19">
        <v>2</v>
      </c>
      <c r="Y33" s="19">
        <v>2</v>
      </c>
      <c r="Z33" s="19">
        <v>0</v>
      </c>
    </row>
    <row r="34" spans="1:26" ht="15.75" x14ac:dyDescent="0.25">
      <c r="A34" s="36">
        <v>5</v>
      </c>
      <c r="B34" s="47" t="s">
        <v>6</v>
      </c>
      <c r="C34" s="38">
        <f t="shared" si="21"/>
        <v>69</v>
      </c>
      <c r="D34" s="38">
        <f t="shared" si="22"/>
        <v>64</v>
      </c>
      <c r="E34" s="42">
        <f t="shared" si="23"/>
        <v>5</v>
      </c>
      <c r="F34" s="42">
        <f t="shared" si="24"/>
        <v>1</v>
      </c>
      <c r="G34" s="42">
        <f t="shared" si="25"/>
        <v>0</v>
      </c>
      <c r="H34" s="42">
        <f t="shared" si="26"/>
        <v>0</v>
      </c>
      <c r="I34" s="42">
        <f t="shared" si="27"/>
        <v>4</v>
      </c>
      <c r="J34" s="39">
        <f t="shared" si="28"/>
        <v>0.92753623188405798</v>
      </c>
      <c r="K34" s="40">
        <f t="shared" si="3"/>
        <v>7.2463768115942032E-2</v>
      </c>
      <c r="M34" s="23">
        <v>1</v>
      </c>
      <c r="N34" s="23">
        <v>9</v>
      </c>
      <c r="O34" s="19">
        <v>1</v>
      </c>
      <c r="P34" s="19">
        <v>68</v>
      </c>
      <c r="Q34" s="19">
        <v>64</v>
      </c>
      <c r="S34" s="2">
        <v>5</v>
      </c>
      <c r="T34" s="2">
        <v>0</v>
      </c>
      <c r="U34" s="19">
        <v>5</v>
      </c>
      <c r="V34" s="19">
        <v>1</v>
      </c>
      <c r="W34" s="19">
        <v>0</v>
      </c>
      <c r="X34" s="19">
        <v>0</v>
      </c>
      <c r="Y34" s="19">
        <v>4</v>
      </c>
      <c r="Z34" s="19">
        <v>0</v>
      </c>
    </row>
    <row r="35" spans="1:26" ht="15.75" x14ac:dyDescent="0.25">
      <c r="A35" s="36">
        <v>6</v>
      </c>
      <c r="B35" s="47" t="s">
        <v>7</v>
      </c>
      <c r="C35" s="38">
        <f t="shared" si="21"/>
        <v>78</v>
      </c>
      <c r="D35" s="38">
        <f t="shared" si="22"/>
        <v>72</v>
      </c>
      <c r="E35" s="42">
        <f t="shared" si="23"/>
        <v>6</v>
      </c>
      <c r="F35" s="42">
        <f t="shared" si="24"/>
        <v>0</v>
      </c>
      <c r="G35" s="42">
        <f t="shared" si="25"/>
        <v>3</v>
      </c>
      <c r="H35" s="42">
        <f t="shared" si="26"/>
        <v>3</v>
      </c>
      <c r="I35" s="42">
        <f t="shared" si="27"/>
        <v>3</v>
      </c>
      <c r="J35" s="39">
        <f t="shared" si="28"/>
        <v>0.92307692307692313</v>
      </c>
      <c r="K35" s="40">
        <f t="shared" si="3"/>
        <v>7.6923076923076927E-2</v>
      </c>
      <c r="M35" s="23">
        <v>5</v>
      </c>
      <c r="N35" s="23">
        <v>5</v>
      </c>
      <c r="O35" s="19">
        <v>5</v>
      </c>
      <c r="P35" s="19">
        <v>73</v>
      </c>
      <c r="Q35" s="19">
        <v>72</v>
      </c>
      <c r="S35" s="2">
        <v>0</v>
      </c>
      <c r="T35" s="2">
        <v>6</v>
      </c>
      <c r="U35" s="19">
        <v>6</v>
      </c>
      <c r="V35" s="19">
        <v>0</v>
      </c>
      <c r="W35" s="19">
        <v>0</v>
      </c>
      <c r="X35" s="19">
        <v>3</v>
      </c>
      <c r="Y35" s="19">
        <v>3</v>
      </c>
      <c r="Z35" s="19">
        <v>0</v>
      </c>
    </row>
    <row r="36" spans="1:26" ht="15.75" x14ac:dyDescent="0.25">
      <c r="A36" s="36">
        <v>7</v>
      </c>
      <c r="B36" s="47" t="s">
        <v>8</v>
      </c>
      <c r="C36" s="38">
        <f t="shared" si="21"/>
        <v>29</v>
      </c>
      <c r="D36" s="38">
        <f t="shared" si="22"/>
        <v>26</v>
      </c>
      <c r="E36" s="42">
        <f t="shared" si="23"/>
        <v>3</v>
      </c>
      <c r="F36" s="42">
        <f t="shared" si="24"/>
        <v>1</v>
      </c>
      <c r="G36" s="42">
        <f t="shared" si="25"/>
        <v>0</v>
      </c>
      <c r="H36" s="42">
        <f t="shared" si="26"/>
        <v>0</v>
      </c>
      <c r="I36" s="42">
        <f t="shared" si="27"/>
        <v>2</v>
      </c>
      <c r="J36" s="39">
        <f t="shared" si="28"/>
        <v>0.89655172413793105</v>
      </c>
      <c r="K36" s="40">
        <f t="shared" si="3"/>
        <v>0.10344827586206896</v>
      </c>
      <c r="M36" s="23">
        <v>3</v>
      </c>
      <c r="N36" s="23">
        <v>1</v>
      </c>
      <c r="O36" s="19">
        <v>3</v>
      </c>
      <c r="P36" s="19">
        <v>26</v>
      </c>
      <c r="Q36" s="19">
        <v>26</v>
      </c>
      <c r="S36" s="2">
        <v>0</v>
      </c>
      <c r="T36" s="2">
        <v>3</v>
      </c>
      <c r="U36" s="19">
        <v>3</v>
      </c>
      <c r="V36" s="19">
        <v>1</v>
      </c>
      <c r="W36" s="19">
        <v>0</v>
      </c>
      <c r="X36" s="19">
        <v>0</v>
      </c>
      <c r="Y36" s="19">
        <v>2</v>
      </c>
      <c r="Z36" s="19">
        <v>0</v>
      </c>
    </row>
    <row r="37" spans="1:26" ht="15.75" x14ac:dyDescent="0.25">
      <c r="A37" s="36">
        <v>8</v>
      </c>
      <c r="B37" s="47" t="s">
        <v>9</v>
      </c>
      <c r="C37" s="38">
        <f t="shared" si="21"/>
        <v>30</v>
      </c>
      <c r="D37" s="38">
        <f t="shared" si="22"/>
        <v>22</v>
      </c>
      <c r="E37" s="42">
        <f t="shared" si="23"/>
        <v>8</v>
      </c>
      <c r="F37" s="42">
        <f t="shared" si="24"/>
        <v>0</v>
      </c>
      <c r="G37" s="42">
        <f t="shared" si="25"/>
        <v>0</v>
      </c>
      <c r="H37" s="42">
        <f t="shared" si="26"/>
        <v>0</v>
      </c>
      <c r="I37" s="42">
        <f t="shared" si="27"/>
        <v>8</v>
      </c>
      <c r="J37" s="39">
        <f t="shared" si="28"/>
        <v>0.73333333333333328</v>
      </c>
      <c r="K37" s="40">
        <f t="shared" si="3"/>
        <v>0.26666666666666666</v>
      </c>
      <c r="M37" s="23">
        <v>2</v>
      </c>
      <c r="N37" s="23">
        <v>8</v>
      </c>
      <c r="O37" s="19">
        <v>2</v>
      </c>
      <c r="P37" s="19">
        <v>28</v>
      </c>
      <c r="Q37" s="19">
        <v>22</v>
      </c>
      <c r="S37" s="2">
        <v>8</v>
      </c>
      <c r="T37" s="2">
        <v>0</v>
      </c>
      <c r="U37" s="19">
        <v>8</v>
      </c>
      <c r="V37" s="19">
        <v>0</v>
      </c>
      <c r="W37" s="19">
        <v>0</v>
      </c>
      <c r="X37" s="19">
        <v>0</v>
      </c>
      <c r="Y37" s="19">
        <v>8</v>
      </c>
      <c r="Z37" s="19">
        <v>0</v>
      </c>
    </row>
    <row r="38" spans="1:26" ht="15.75" x14ac:dyDescent="0.25">
      <c r="A38" s="36">
        <v>9</v>
      </c>
      <c r="B38" s="47" t="s">
        <v>10</v>
      </c>
      <c r="C38" s="38">
        <f t="shared" si="21"/>
        <v>62</v>
      </c>
      <c r="D38" s="38">
        <f t="shared" si="22"/>
        <v>61</v>
      </c>
      <c r="E38" s="42">
        <f t="shared" si="23"/>
        <v>1</v>
      </c>
      <c r="F38" s="42">
        <f t="shared" si="24"/>
        <v>0</v>
      </c>
      <c r="G38" s="42">
        <f t="shared" si="25"/>
        <v>0</v>
      </c>
      <c r="H38" s="42">
        <f t="shared" si="26"/>
        <v>0</v>
      </c>
      <c r="I38" s="42">
        <f t="shared" si="27"/>
        <v>1</v>
      </c>
      <c r="J38" s="39">
        <f t="shared" si="28"/>
        <v>0.9838709677419355</v>
      </c>
      <c r="K38" s="40">
        <f t="shared" si="3"/>
        <v>1.6129032258064516E-2</v>
      </c>
      <c r="M38" s="23">
        <v>1</v>
      </c>
      <c r="N38" s="23">
        <v>2</v>
      </c>
      <c r="O38" s="19">
        <v>1</v>
      </c>
      <c r="P38" s="19">
        <v>61</v>
      </c>
      <c r="Q38" s="19">
        <v>61</v>
      </c>
      <c r="S38" s="2">
        <v>0</v>
      </c>
      <c r="T38" s="2">
        <v>1</v>
      </c>
      <c r="U38" s="19">
        <v>1</v>
      </c>
      <c r="V38" s="19">
        <v>0</v>
      </c>
      <c r="W38" s="19">
        <v>0</v>
      </c>
      <c r="X38" s="19">
        <v>0</v>
      </c>
      <c r="Y38" s="19">
        <v>1</v>
      </c>
      <c r="Z38" s="19">
        <v>0</v>
      </c>
    </row>
    <row r="39" spans="1:26" ht="15.75" x14ac:dyDescent="0.25">
      <c r="A39" s="36">
        <v>10</v>
      </c>
      <c r="B39" s="47" t="s">
        <v>11</v>
      </c>
      <c r="C39" s="38">
        <f t="shared" si="21"/>
        <v>17</v>
      </c>
      <c r="D39" s="38">
        <f t="shared" si="22"/>
        <v>16</v>
      </c>
      <c r="E39" s="42">
        <f t="shared" si="23"/>
        <v>1</v>
      </c>
      <c r="F39" s="42">
        <f t="shared" si="24"/>
        <v>0</v>
      </c>
      <c r="G39" s="42">
        <f t="shared" si="25"/>
        <v>0</v>
      </c>
      <c r="H39" s="42">
        <f t="shared" si="26"/>
        <v>0</v>
      </c>
      <c r="I39" s="42">
        <f t="shared" si="27"/>
        <v>1</v>
      </c>
      <c r="J39" s="39">
        <f t="shared" si="28"/>
        <v>0.94117647058823528</v>
      </c>
      <c r="K39" s="40">
        <f t="shared" si="3"/>
        <v>5.8823529411764705E-2</v>
      </c>
      <c r="M39" s="23">
        <v>1</v>
      </c>
      <c r="N39" s="23">
        <v>0</v>
      </c>
      <c r="O39" s="19">
        <v>1</v>
      </c>
      <c r="P39" s="19">
        <v>16</v>
      </c>
      <c r="Q39" s="19">
        <v>16</v>
      </c>
      <c r="S39" s="2">
        <v>0</v>
      </c>
      <c r="T39" s="2">
        <v>1</v>
      </c>
      <c r="U39" s="19">
        <v>1</v>
      </c>
      <c r="V39" s="19">
        <v>0</v>
      </c>
      <c r="W39" s="19">
        <v>0</v>
      </c>
      <c r="X39" s="19">
        <v>0</v>
      </c>
      <c r="Y39" s="19">
        <v>1</v>
      </c>
      <c r="Z39" s="19">
        <v>0</v>
      </c>
    </row>
    <row r="40" spans="1:26" ht="15.75" x14ac:dyDescent="0.25">
      <c r="A40" s="36">
        <v>11</v>
      </c>
      <c r="B40" s="47" t="s">
        <v>12</v>
      </c>
      <c r="C40" s="38">
        <f t="shared" si="21"/>
        <v>38</v>
      </c>
      <c r="D40" s="38">
        <f t="shared" si="22"/>
        <v>38</v>
      </c>
      <c r="E40" s="42">
        <f t="shared" si="23"/>
        <v>0</v>
      </c>
      <c r="F40" s="42">
        <f t="shared" si="24"/>
        <v>0</v>
      </c>
      <c r="G40" s="42">
        <f t="shared" si="25"/>
        <v>0</v>
      </c>
      <c r="H40" s="42">
        <f t="shared" si="26"/>
        <v>0</v>
      </c>
      <c r="I40" s="42">
        <f t="shared" si="27"/>
        <v>0</v>
      </c>
      <c r="J40" s="39">
        <f t="shared" si="28"/>
        <v>1</v>
      </c>
      <c r="K40" s="40">
        <f t="shared" si="3"/>
        <v>0</v>
      </c>
      <c r="M40" s="23">
        <v>2</v>
      </c>
      <c r="N40" s="23">
        <v>4</v>
      </c>
      <c r="O40" s="19">
        <v>2</v>
      </c>
      <c r="P40" s="19">
        <v>36</v>
      </c>
      <c r="Q40" s="19">
        <v>38</v>
      </c>
      <c r="S40" s="2">
        <v>0</v>
      </c>
      <c r="T40" s="2">
        <v>0</v>
      </c>
      <c r="U40" s="19">
        <v>0</v>
      </c>
      <c r="V40" s="19">
        <v>0</v>
      </c>
      <c r="W40" s="19">
        <v>0</v>
      </c>
      <c r="X40" s="19">
        <v>0</v>
      </c>
      <c r="Y40" s="19">
        <v>0</v>
      </c>
      <c r="Z40" s="19">
        <v>0</v>
      </c>
    </row>
    <row r="41" spans="1:26" ht="15.75" x14ac:dyDescent="0.25">
      <c r="A41" s="36">
        <v>12</v>
      </c>
      <c r="B41" s="47" t="s">
        <v>13</v>
      </c>
      <c r="C41" s="38">
        <f t="shared" si="21"/>
        <v>11</v>
      </c>
      <c r="D41" s="38">
        <f t="shared" si="22"/>
        <v>9</v>
      </c>
      <c r="E41" s="42">
        <f t="shared" si="23"/>
        <v>2</v>
      </c>
      <c r="F41" s="42">
        <f t="shared" si="24"/>
        <v>0</v>
      </c>
      <c r="G41" s="42">
        <f t="shared" si="25"/>
        <v>0</v>
      </c>
      <c r="H41" s="42">
        <f t="shared" si="26"/>
        <v>0</v>
      </c>
      <c r="I41" s="42">
        <f t="shared" si="27"/>
        <v>2</v>
      </c>
      <c r="J41" s="39">
        <f t="shared" si="28"/>
        <v>0.81818181818181823</v>
      </c>
      <c r="K41" s="40">
        <f t="shared" si="3"/>
        <v>0.18181818181818182</v>
      </c>
      <c r="M41" s="23">
        <v>0</v>
      </c>
      <c r="N41" s="23">
        <v>0</v>
      </c>
      <c r="O41" s="19">
        <v>0</v>
      </c>
      <c r="P41" s="19">
        <v>11</v>
      </c>
      <c r="Q41" s="19">
        <v>9</v>
      </c>
      <c r="S41" s="2">
        <v>0</v>
      </c>
      <c r="T41" s="2">
        <v>2</v>
      </c>
      <c r="U41" s="19">
        <v>2</v>
      </c>
      <c r="V41" s="19">
        <v>0</v>
      </c>
      <c r="W41" s="19">
        <v>0</v>
      </c>
      <c r="X41" s="19">
        <v>0</v>
      </c>
      <c r="Y41" s="19">
        <v>2</v>
      </c>
      <c r="Z41" s="19">
        <v>0</v>
      </c>
    </row>
    <row r="42" spans="1:26" ht="15.75" x14ac:dyDescent="0.25">
      <c r="A42" s="36">
        <v>13</v>
      </c>
      <c r="B42" s="47" t="s">
        <v>14</v>
      </c>
      <c r="C42" s="38">
        <f t="shared" si="21"/>
        <v>44</v>
      </c>
      <c r="D42" s="38">
        <f t="shared" si="22"/>
        <v>43</v>
      </c>
      <c r="E42" s="42">
        <f t="shared" si="23"/>
        <v>1</v>
      </c>
      <c r="F42" s="42">
        <f t="shared" si="24"/>
        <v>0</v>
      </c>
      <c r="G42" s="42">
        <f t="shared" si="25"/>
        <v>1</v>
      </c>
      <c r="H42" s="42">
        <f t="shared" si="26"/>
        <v>1</v>
      </c>
      <c r="I42" s="42">
        <f t="shared" si="27"/>
        <v>0</v>
      </c>
      <c r="J42" s="39">
        <f t="shared" si="28"/>
        <v>0.97727272727272729</v>
      </c>
      <c r="K42" s="40">
        <f t="shared" si="3"/>
        <v>2.2727272727272728E-2</v>
      </c>
      <c r="M42" s="23">
        <v>4</v>
      </c>
      <c r="N42" s="23">
        <v>5</v>
      </c>
      <c r="O42" s="19">
        <v>4</v>
      </c>
      <c r="P42" s="19">
        <v>40</v>
      </c>
      <c r="Q42" s="19">
        <v>43</v>
      </c>
      <c r="S42" s="2">
        <v>0</v>
      </c>
      <c r="T42" s="2">
        <v>1</v>
      </c>
      <c r="U42" s="19">
        <v>1</v>
      </c>
      <c r="V42" s="19">
        <v>0</v>
      </c>
      <c r="W42" s="19">
        <v>0</v>
      </c>
      <c r="X42" s="19">
        <v>1</v>
      </c>
      <c r="Y42" s="19">
        <v>0</v>
      </c>
      <c r="Z42" s="19">
        <v>0</v>
      </c>
    </row>
    <row r="43" spans="1:26" ht="15.75" x14ac:dyDescent="0.25">
      <c r="A43" s="36">
        <v>14</v>
      </c>
      <c r="B43" s="47" t="s">
        <v>15</v>
      </c>
      <c r="C43" s="38">
        <f t="shared" si="21"/>
        <v>27</v>
      </c>
      <c r="D43" s="38">
        <f t="shared" si="22"/>
        <v>25</v>
      </c>
      <c r="E43" s="42">
        <f t="shared" si="23"/>
        <v>2</v>
      </c>
      <c r="F43" s="42">
        <f t="shared" si="24"/>
        <v>0</v>
      </c>
      <c r="G43" s="42">
        <f t="shared" si="25"/>
        <v>0</v>
      </c>
      <c r="H43" s="42">
        <f t="shared" si="26"/>
        <v>0</v>
      </c>
      <c r="I43" s="42">
        <f t="shared" si="27"/>
        <v>2</v>
      </c>
      <c r="J43" s="39">
        <f t="shared" si="28"/>
        <v>0.92592592592592593</v>
      </c>
      <c r="K43" s="40">
        <f t="shared" si="3"/>
        <v>7.407407407407407E-2</v>
      </c>
      <c r="M43" s="23">
        <v>1</v>
      </c>
      <c r="N43" s="23">
        <v>0</v>
      </c>
      <c r="O43" s="19">
        <v>1</v>
      </c>
      <c r="P43" s="19">
        <v>26</v>
      </c>
      <c r="Q43" s="19">
        <v>25</v>
      </c>
      <c r="S43" s="2">
        <v>2</v>
      </c>
      <c r="T43" s="2">
        <v>0</v>
      </c>
      <c r="U43" s="19">
        <v>2</v>
      </c>
      <c r="V43" s="19">
        <v>0</v>
      </c>
      <c r="W43" s="19">
        <v>0</v>
      </c>
      <c r="X43" s="19">
        <v>0</v>
      </c>
      <c r="Y43" s="19">
        <v>2</v>
      </c>
      <c r="Z43" s="19">
        <v>0</v>
      </c>
    </row>
    <row r="44" spans="1:26" ht="15.75" x14ac:dyDescent="0.25">
      <c r="A44" s="36">
        <v>15</v>
      </c>
      <c r="B44" s="47" t="s">
        <v>16</v>
      </c>
      <c r="C44" s="38">
        <f t="shared" si="21"/>
        <v>64</v>
      </c>
      <c r="D44" s="38">
        <f t="shared" si="22"/>
        <v>56</v>
      </c>
      <c r="E44" s="42">
        <f t="shared" si="23"/>
        <v>8</v>
      </c>
      <c r="F44" s="42">
        <f t="shared" si="24"/>
        <v>0</v>
      </c>
      <c r="G44" s="42">
        <f t="shared" si="25"/>
        <v>3</v>
      </c>
      <c r="H44" s="42">
        <f t="shared" si="26"/>
        <v>3</v>
      </c>
      <c r="I44" s="42">
        <f t="shared" si="27"/>
        <v>5</v>
      </c>
      <c r="J44" s="39">
        <f t="shared" si="28"/>
        <v>0.875</v>
      </c>
      <c r="K44" s="40">
        <f t="shared" si="3"/>
        <v>0.125</v>
      </c>
      <c r="M44" s="23">
        <v>2</v>
      </c>
      <c r="N44" s="23">
        <v>8</v>
      </c>
      <c r="O44" s="19">
        <v>2</v>
      </c>
      <c r="P44" s="19">
        <v>62</v>
      </c>
      <c r="Q44" s="19">
        <v>56</v>
      </c>
      <c r="S44" s="2">
        <v>8</v>
      </c>
      <c r="T44" s="2">
        <v>0</v>
      </c>
      <c r="U44" s="19">
        <v>8</v>
      </c>
      <c r="V44" s="19">
        <v>0</v>
      </c>
      <c r="W44" s="19">
        <v>0</v>
      </c>
      <c r="X44" s="19">
        <v>3</v>
      </c>
      <c r="Y44" s="19">
        <v>5</v>
      </c>
      <c r="Z44" s="19">
        <v>0</v>
      </c>
    </row>
    <row r="45" spans="1:26" ht="15.75" x14ac:dyDescent="0.25">
      <c r="A45" s="36">
        <v>16</v>
      </c>
      <c r="B45" s="47" t="s">
        <v>17</v>
      </c>
      <c r="C45" s="38">
        <f t="shared" si="21"/>
        <v>7</v>
      </c>
      <c r="D45" s="38">
        <f t="shared" si="22"/>
        <v>5</v>
      </c>
      <c r="E45" s="42">
        <f t="shared" si="23"/>
        <v>2</v>
      </c>
      <c r="F45" s="42">
        <f t="shared" si="24"/>
        <v>1</v>
      </c>
      <c r="G45" s="42">
        <f t="shared" si="25"/>
        <v>1</v>
      </c>
      <c r="H45" s="42">
        <f t="shared" si="26"/>
        <v>1</v>
      </c>
      <c r="I45" s="42">
        <f t="shared" si="27"/>
        <v>0</v>
      </c>
      <c r="J45" s="39">
        <f t="shared" si="28"/>
        <v>0.7142857142857143</v>
      </c>
      <c r="K45" s="40">
        <f t="shared" si="3"/>
        <v>0.2857142857142857</v>
      </c>
      <c r="M45" s="23">
        <v>2</v>
      </c>
      <c r="N45" s="23">
        <v>0</v>
      </c>
      <c r="O45" s="19">
        <v>2</v>
      </c>
      <c r="P45" s="19">
        <v>5</v>
      </c>
      <c r="Q45" s="19">
        <v>5</v>
      </c>
      <c r="S45" s="2">
        <v>0</v>
      </c>
      <c r="T45" s="2">
        <v>2</v>
      </c>
      <c r="U45" s="19">
        <v>2</v>
      </c>
      <c r="V45" s="19">
        <v>1</v>
      </c>
      <c r="W45" s="19">
        <v>0</v>
      </c>
      <c r="X45" s="19">
        <v>1</v>
      </c>
      <c r="Y45" s="19">
        <v>0</v>
      </c>
      <c r="Z45" s="19">
        <v>0</v>
      </c>
    </row>
    <row r="46" spans="1:26" ht="15.75" x14ac:dyDescent="0.25">
      <c r="A46" s="36">
        <v>17</v>
      </c>
      <c r="B46" s="47" t="s">
        <v>18</v>
      </c>
      <c r="C46" s="38">
        <f t="shared" si="21"/>
        <v>6</v>
      </c>
      <c r="D46" s="38">
        <f t="shared" si="22"/>
        <v>6</v>
      </c>
      <c r="E46" s="42">
        <f t="shared" si="23"/>
        <v>0</v>
      </c>
      <c r="F46" s="42">
        <f t="shared" si="24"/>
        <v>0</v>
      </c>
      <c r="G46" s="42">
        <f t="shared" si="25"/>
        <v>0</v>
      </c>
      <c r="H46" s="42">
        <f t="shared" si="26"/>
        <v>0</v>
      </c>
      <c r="I46" s="42">
        <f t="shared" si="27"/>
        <v>0</v>
      </c>
      <c r="J46" s="39">
        <f t="shared" si="28"/>
        <v>1</v>
      </c>
      <c r="K46" s="40">
        <f t="shared" si="3"/>
        <v>0</v>
      </c>
      <c r="M46" s="23">
        <v>0</v>
      </c>
      <c r="N46" s="23">
        <v>0</v>
      </c>
      <c r="O46" s="19">
        <v>0</v>
      </c>
      <c r="P46" s="19">
        <v>6</v>
      </c>
      <c r="Q46" s="19">
        <v>6</v>
      </c>
      <c r="S46" s="2">
        <v>0</v>
      </c>
      <c r="T46" s="2">
        <v>0</v>
      </c>
      <c r="U46" s="19">
        <v>0</v>
      </c>
      <c r="V46" s="19">
        <v>0</v>
      </c>
      <c r="W46" s="19">
        <v>0</v>
      </c>
      <c r="X46" s="19">
        <v>0</v>
      </c>
      <c r="Y46" s="19">
        <v>0</v>
      </c>
      <c r="Z46" s="19">
        <v>0</v>
      </c>
    </row>
    <row r="47" spans="1:26" ht="15.75" x14ac:dyDescent="0.25">
      <c r="A47" s="36">
        <v>18</v>
      </c>
      <c r="B47" s="47" t="s">
        <v>19</v>
      </c>
      <c r="C47" s="38">
        <f t="shared" si="21"/>
        <v>11</v>
      </c>
      <c r="D47" s="38">
        <f t="shared" si="22"/>
        <v>10</v>
      </c>
      <c r="E47" s="42">
        <f t="shared" si="23"/>
        <v>1</v>
      </c>
      <c r="F47" s="42">
        <f t="shared" si="24"/>
        <v>1</v>
      </c>
      <c r="G47" s="42">
        <f t="shared" si="25"/>
        <v>0</v>
      </c>
      <c r="H47" s="42">
        <f t="shared" si="26"/>
        <v>0</v>
      </c>
      <c r="I47" s="42">
        <f t="shared" si="27"/>
        <v>0</v>
      </c>
      <c r="J47" s="39">
        <f t="shared" si="28"/>
        <v>0.90909090909090906</v>
      </c>
      <c r="K47" s="40">
        <f t="shared" si="3"/>
        <v>9.0909090909090912E-2</v>
      </c>
      <c r="M47" s="23">
        <v>0</v>
      </c>
      <c r="N47" s="23">
        <v>0</v>
      </c>
      <c r="O47" s="19">
        <v>0</v>
      </c>
      <c r="P47" s="19">
        <v>11</v>
      </c>
      <c r="Q47" s="19">
        <v>10</v>
      </c>
      <c r="S47" s="2">
        <v>1</v>
      </c>
      <c r="T47" s="2">
        <v>0</v>
      </c>
      <c r="U47" s="19">
        <v>1</v>
      </c>
      <c r="V47" s="19">
        <v>1</v>
      </c>
      <c r="W47" s="19">
        <v>0</v>
      </c>
      <c r="X47" s="19">
        <v>0</v>
      </c>
      <c r="Y47" s="19">
        <v>0</v>
      </c>
      <c r="Z47" s="19">
        <v>0</v>
      </c>
    </row>
    <row r="48" spans="1:26" ht="15.75" x14ac:dyDescent="0.25">
      <c r="A48" s="36">
        <v>19</v>
      </c>
      <c r="B48" s="47" t="s">
        <v>20</v>
      </c>
      <c r="C48" s="38">
        <f t="shared" si="21"/>
        <v>10</v>
      </c>
      <c r="D48" s="38">
        <f t="shared" si="22"/>
        <v>9</v>
      </c>
      <c r="E48" s="42">
        <f t="shared" si="23"/>
        <v>1</v>
      </c>
      <c r="F48" s="42">
        <f t="shared" si="24"/>
        <v>0</v>
      </c>
      <c r="G48" s="42">
        <f t="shared" si="25"/>
        <v>0</v>
      </c>
      <c r="H48" s="42">
        <f t="shared" si="26"/>
        <v>0</v>
      </c>
      <c r="I48" s="42">
        <f t="shared" si="27"/>
        <v>1</v>
      </c>
      <c r="J48" s="39">
        <f t="shared" ref="J48:J49" si="29">D48/C48</f>
        <v>0.9</v>
      </c>
      <c r="K48" s="40">
        <f t="shared" ref="K48:K49" si="30">E48/C48</f>
        <v>0.1</v>
      </c>
      <c r="M48" s="23">
        <v>0</v>
      </c>
      <c r="N48" s="23">
        <v>1</v>
      </c>
      <c r="O48" s="19">
        <v>0</v>
      </c>
      <c r="P48" s="19">
        <v>10</v>
      </c>
      <c r="Q48" s="19">
        <v>9</v>
      </c>
      <c r="S48" s="2">
        <v>1</v>
      </c>
      <c r="T48" s="2">
        <v>0</v>
      </c>
      <c r="U48" s="19">
        <v>1</v>
      </c>
      <c r="V48" s="19">
        <v>0</v>
      </c>
      <c r="W48" s="19">
        <v>0</v>
      </c>
      <c r="X48" s="19">
        <v>0</v>
      </c>
      <c r="Y48" s="19">
        <v>1</v>
      </c>
      <c r="Z48" s="19">
        <v>0</v>
      </c>
    </row>
    <row r="49" spans="1:26" ht="15.75" x14ac:dyDescent="0.25">
      <c r="A49" s="36">
        <v>20</v>
      </c>
      <c r="B49" s="47" t="s">
        <v>21</v>
      </c>
      <c r="C49" s="38">
        <f t="shared" si="21"/>
        <v>10</v>
      </c>
      <c r="D49" s="38">
        <f t="shared" si="22"/>
        <v>9</v>
      </c>
      <c r="E49" s="42">
        <f t="shared" si="23"/>
        <v>1</v>
      </c>
      <c r="F49" s="42">
        <f t="shared" si="24"/>
        <v>0</v>
      </c>
      <c r="G49" s="42">
        <f t="shared" si="25"/>
        <v>0</v>
      </c>
      <c r="H49" s="42">
        <f t="shared" si="26"/>
        <v>0</v>
      </c>
      <c r="I49" s="42">
        <f t="shared" si="27"/>
        <v>1</v>
      </c>
      <c r="J49" s="39">
        <f t="shared" si="29"/>
        <v>0.9</v>
      </c>
      <c r="K49" s="40">
        <f t="shared" si="30"/>
        <v>0.1</v>
      </c>
      <c r="M49" s="23">
        <v>0</v>
      </c>
      <c r="N49" s="23">
        <v>1</v>
      </c>
      <c r="O49" s="19">
        <v>0</v>
      </c>
      <c r="P49" s="19">
        <v>10</v>
      </c>
      <c r="Q49" s="19">
        <v>9</v>
      </c>
      <c r="S49" s="2">
        <v>1</v>
      </c>
      <c r="T49" s="2">
        <v>0</v>
      </c>
      <c r="U49" s="19">
        <v>1</v>
      </c>
      <c r="V49" s="19">
        <v>0</v>
      </c>
      <c r="W49" s="19">
        <v>0</v>
      </c>
      <c r="X49" s="19">
        <v>0</v>
      </c>
      <c r="Y49" s="19">
        <v>1</v>
      </c>
      <c r="Z49" s="19">
        <v>0</v>
      </c>
    </row>
    <row r="50" spans="1:26" ht="15.75" x14ac:dyDescent="0.25">
      <c r="A50" s="36">
        <v>21</v>
      </c>
      <c r="B50" s="47" t="s">
        <v>22</v>
      </c>
      <c r="C50" s="38">
        <f t="shared" si="21"/>
        <v>7</v>
      </c>
      <c r="D50" s="38">
        <f t="shared" si="22"/>
        <v>7</v>
      </c>
      <c r="E50" s="42">
        <f t="shared" si="23"/>
        <v>0</v>
      </c>
      <c r="F50" s="42">
        <f t="shared" si="24"/>
        <v>0</v>
      </c>
      <c r="G50" s="42">
        <f t="shared" si="25"/>
        <v>0</v>
      </c>
      <c r="H50" s="42">
        <f t="shared" si="26"/>
        <v>0</v>
      </c>
      <c r="I50" s="42">
        <f t="shared" si="27"/>
        <v>0</v>
      </c>
      <c r="J50" s="39">
        <f t="shared" ref="J50:J54" si="31">D50/C50</f>
        <v>1</v>
      </c>
      <c r="K50" s="40">
        <f t="shared" ref="K50:K54" si="32">E50/C50</f>
        <v>0</v>
      </c>
      <c r="M50" s="23">
        <v>0</v>
      </c>
      <c r="N50" s="23">
        <v>0</v>
      </c>
      <c r="O50" s="19">
        <v>0</v>
      </c>
      <c r="P50" s="19">
        <v>7</v>
      </c>
      <c r="Q50" s="19">
        <v>7</v>
      </c>
      <c r="S50" s="2">
        <v>0</v>
      </c>
      <c r="T50" s="2">
        <v>0</v>
      </c>
      <c r="U50" s="19">
        <v>0</v>
      </c>
      <c r="V50" s="19">
        <v>0</v>
      </c>
      <c r="W50" s="19">
        <v>0</v>
      </c>
      <c r="X50" s="19">
        <v>0</v>
      </c>
      <c r="Y50" s="19">
        <v>0</v>
      </c>
      <c r="Z50" s="19">
        <v>0</v>
      </c>
    </row>
    <row r="51" spans="1:26" ht="15.75" x14ac:dyDescent="0.25">
      <c r="A51" s="36">
        <v>22</v>
      </c>
      <c r="B51" s="47" t="s">
        <v>23</v>
      </c>
      <c r="C51" s="38">
        <f t="shared" si="21"/>
        <v>4</v>
      </c>
      <c r="D51" s="38">
        <f t="shared" si="22"/>
        <v>3</v>
      </c>
      <c r="E51" s="42">
        <f t="shared" si="23"/>
        <v>1</v>
      </c>
      <c r="F51" s="42">
        <f t="shared" si="24"/>
        <v>0</v>
      </c>
      <c r="G51" s="42">
        <f t="shared" si="25"/>
        <v>1</v>
      </c>
      <c r="H51" s="42">
        <f t="shared" si="26"/>
        <v>1</v>
      </c>
      <c r="I51" s="42">
        <f t="shared" si="27"/>
        <v>0</v>
      </c>
      <c r="J51" s="39">
        <f t="shared" si="31"/>
        <v>0.75</v>
      </c>
      <c r="K51" s="40">
        <f t="shared" si="32"/>
        <v>0.25</v>
      </c>
      <c r="M51" s="23">
        <v>0</v>
      </c>
      <c r="N51" s="23">
        <v>1</v>
      </c>
      <c r="O51" s="19">
        <v>0</v>
      </c>
      <c r="P51" s="19">
        <v>4</v>
      </c>
      <c r="Q51" s="19">
        <v>3</v>
      </c>
      <c r="S51" s="2">
        <v>1</v>
      </c>
      <c r="T51" s="2">
        <v>0</v>
      </c>
      <c r="U51" s="19">
        <v>1</v>
      </c>
      <c r="V51" s="19">
        <v>0</v>
      </c>
      <c r="W51" s="19">
        <v>0</v>
      </c>
      <c r="X51" s="19">
        <v>1</v>
      </c>
      <c r="Y51" s="19">
        <v>0</v>
      </c>
      <c r="Z51" s="19">
        <v>0</v>
      </c>
    </row>
    <row r="52" spans="1:26" ht="15.75" x14ac:dyDescent="0.25">
      <c r="A52" s="36">
        <v>23</v>
      </c>
      <c r="B52" s="47" t="s">
        <v>24</v>
      </c>
      <c r="C52" s="38">
        <f t="shared" si="21"/>
        <v>3</v>
      </c>
      <c r="D52" s="38">
        <f t="shared" si="22"/>
        <v>3</v>
      </c>
      <c r="E52" s="42">
        <f t="shared" si="23"/>
        <v>0</v>
      </c>
      <c r="F52" s="42">
        <f t="shared" si="24"/>
        <v>0</v>
      </c>
      <c r="G52" s="42">
        <f t="shared" si="25"/>
        <v>0</v>
      </c>
      <c r="H52" s="42">
        <f t="shared" si="26"/>
        <v>0</v>
      </c>
      <c r="I52" s="42">
        <f t="shared" si="27"/>
        <v>0</v>
      </c>
      <c r="J52" s="39">
        <f t="shared" si="31"/>
        <v>1</v>
      </c>
      <c r="K52" s="40">
        <f t="shared" si="32"/>
        <v>0</v>
      </c>
      <c r="M52" s="23">
        <v>2</v>
      </c>
      <c r="N52" s="23">
        <v>0</v>
      </c>
      <c r="O52" s="19">
        <v>2</v>
      </c>
      <c r="P52" s="19">
        <v>1</v>
      </c>
      <c r="Q52" s="19">
        <v>3</v>
      </c>
      <c r="S52" s="2">
        <v>0</v>
      </c>
      <c r="T52" s="2">
        <v>0</v>
      </c>
      <c r="U52" s="19">
        <v>0</v>
      </c>
      <c r="V52" s="19">
        <v>0</v>
      </c>
      <c r="W52" s="19">
        <v>0</v>
      </c>
      <c r="X52" s="19">
        <v>0</v>
      </c>
      <c r="Y52" s="19">
        <v>0</v>
      </c>
      <c r="Z52" s="19">
        <v>0</v>
      </c>
    </row>
    <row r="53" spans="1:26" ht="15.75" x14ac:dyDescent="0.25">
      <c r="A53" s="36">
        <v>24</v>
      </c>
      <c r="B53" s="47" t="s">
        <v>25</v>
      </c>
      <c r="C53" s="38">
        <f t="shared" si="21"/>
        <v>11</v>
      </c>
      <c r="D53" s="38">
        <f t="shared" si="22"/>
        <v>11</v>
      </c>
      <c r="E53" s="42">
        <f t="shared" si="23"/>
        <v>0</v>
      </c>
      <c r="F53" s="42">
        <f t="shared" si="24"/>
        <v>0</v>
      </c>
      <c r="G53" s="42">
        <f t="shared" si="25"/>
        <v>0</v>
      </c>
      <c r="H53" s="42">
        <f t="shared" si="26"/>
        <v>0</v>
      </c>
      <c r="I53" s="42">
        <f t="shared" si="27"/>
        <v>0</v>
      </c>
      <c r="J53" s="39">
        <f t="shared" si="31"/>
        <v>1</v>
      </c>
      <c r="K53" s="40">
        <f t="shared" si="32"/>
        <v>0</v>
      </c>
      <c r="M53" s="23">
        <v>1</v>
      </c>
      <c r="N53" s="23">
        <v>0</v>
      </c>
      <c r="O53" s="19">
        <v>1</v>
      </c>
      <c r="P53" s="19">
        <v>10</v>
      </c>
      <c r="Q53" s="19">
        <v>11</v>
      </c>
      <c r="S53" s="2">
        <v>0</v>
      </c>
      <c r="T53" s="2">
        <v>0</v>
      </c>
      <c r="U53" s="19">
        <v>0</v>
      </c>
      <c r="V53" s="19">
        <v>0</v>
      </c>
      <c r="W53" s="19">
        <v>0</v>
      </c>
      <c r="X53" s="19">
        <v>0</v>
      </c>
      <c r="Y53" s="19">
        <v>0</v>
      </c>
      <c r="Z53" s="19">
        <v>0</v>
      </c>
    </row>
    <row r="54" spans="1:26" ht="15.75" x14ac:dyDescent="0.25">
      <c r="A54" s="48">
        <v>25</v>
      </c>
      <c r="B54" s="49" t="s">
        <v>26</v>
      </c>
      <c r="C54" s="38">
        <f t="shared" si="21"/>
        <v>1</v>
      </c>
      <c r="D54" s="38">
        <f t="shared" si="22"/>
        <v>1</v>
      </c>
      <c r="E54" s="42">
        <f t="shared" si="23"/>
        <v>0</v>
      </c>
      <c r="F54" s="42">
        <f t="shared" si="24"/>
        <v>0</v>
      </c>
      <c r="G54" s="42">
        <f t="shared" si="25"/>
        <v>0</v>
      </c>
      <c r="H54" s="42">
        <f t="shared" si="26"/>
        <v>0</v>
      </c>
      <c r="I54" s="42">
        <f t="shared" si="27"/>
        <v>0</v>
      </c>
      <c r="J54" s="39">
        <f t="shared" si="31"/>
        <v>1</v>
      </c>
      <c r="K54" s="40">
        <f t="shared" si="32"/>
        <v>0</v>
      </c>
      <c r="M54" s="23">
        <v>0</v>
      </c>
      <c r="N54" s="23">
        <v>0</v>
      </c>
      <c r="O54" s="19">
        <v>0</v>
      </c>
      <c r="P54" s="19">
        <v>1</v>
      </c>
      <c r="Q54" s="19">
        <v>1</v>
      </c>
      <c r="S54" s="2">
        <v>0</v>
      </c>
      <c r="T54" s="2">
        <v>0</v>
      </c>
      <c r="U54" s="19">
        <v>0</v>
      </c>
      <c r="V54" s="19">
        <v>0</v>
      </c>
      <c r="W54" s="19">
        <v>0</v>
      </c>
      <c r="X54" s="19">
        <v>0</v>
      </c>
      <c r="Y54" s="19">
        <v>0</v>
      </c>
      <c r="Z54" s="19">
        <v>0</v>
      </c>
    </row>
  </sheetData>
  <customSheetViews>
    <customSheetView guid="{F3FCB7D1-7784-4A2D-A483-E622FF4B2CA9}" filter="1" showAutoFilter="1" topLeftCell="A4">
      <pane xSplit="1" ySplit="5" topLeftCell="B18" activePane="bottomRight" state="frozen"/>
      <selection pane="bottomRight" activeCell="B54" sqref="B54"/>
      <pageMargins left="0.7" right="0.7" top="0.75" bottom="0.75" header="0.3" footer="0.3"/>
      <pageSetup paperSize="9" orientation="portrait" r:id="rId1"/>
      <autoFilter ref="A27:K52">
        <filterColumn colId="1">
          <filters>
            <filter val="ĐT Hà Đông (nay Thuế CS15)"/>
          </filters>
        </filterColumn>
      </autoFilter>
    </customSheetView>
    <customSheetView guid="{BB62300F-92B3-4A08-83DE-C65B28EE44D8}" topLeftCell="A4">
      <pane xSplit="1" ySplit="5" topLeftCell="B9" activePane="bottomRight" state="frozen"/>
      <selection pane="bottomRight" activeCell="H14" sqref="H14"/>
      <pageMargins left="0.7" right="0.7" top="0.75" bottom="0.75" header="0.3" footer="0.3"/>
      <pageSetup paperSize="9" orientation="portrait" r:id="rId2"/>
    </customSheetView>
  </customSheetViews>
  <mergeCells count="16">
    <mergeCell ref="S11:T11"/>
    <mergeCell ref="AB12:AB13"/>
    <mergeCell ref="M6:M7"/>
    <mergeCell ref="N6:N7"/>
    <mergeCell ref="AC12:AI12"/>
    <mergeCell ref="AB10:AC10"/>
    <mergeCell ref="O7:T7"/>
    <mergeCell ref="M5:N5"/>
    <mergeCell ref="K6:K7"/>
    <mergeCell ref="A4:K4"/>
    <mergeCell ref="A6:A7"/>
    <mergeCell ref="B6:B7"/>
    <mergeCell ref="C6:C7"/>
    <mergeCell ref="D6:D7"/>
    <mergeCell ref="E6:I6"/>
    <mergeCell ref="J6:J7"/>
  </mergeCells>
  <phoneticPr fontId="15" type="noConversion"/>
  <pageMargins left="0.25" right="0.25" top="0.75" bottom="0.75" header="0.3" footer="0.3"/>
  <pageSetup paperSize="9" scale="65"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 Nguyen Thi Sang (KT2-HAN)</dc:creator>
  <cp:lastModifiedBy>Administrator</cp:lastModifiedBy>
  <cp:lastPrinted>2026-06-09T08:49:43Z</cp:lastPrinted>
  <dcterms:created xsi:type="dcterms:W3CDTF">2015-06-05T18:17:20Z</dcterms:created>
  <dcterms:modified xsi:type="dcterms:W3CDTF">2026-07-24T07:48:41Z</dcterms:modified>
</cp:coreProperties>
</file>