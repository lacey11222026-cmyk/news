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<sst xmlns="http://schemas.openxmlformats.org/spreadsheetml/2006/main" count="68" uniqueCount="68">
  <si>
    <t>Ngân hàng TMCP Đầu tư và Phát triển Việt Nam</t>
  </si>
  <si>
    <t>Cộng hòa xã hội chủ nghĩa Việt Nam</t>
  </si>
  <si>
    <t>Kỳ báo cáo: Quý I</t>
  </si>
  <si>
    <t>Độc lập - Tự do - Hạnh phúc</t>
  </si>
  <si>
    <t xml:space="preserve">BÁO CÁO TÓM TẮT TÌNH HÌNH THỰC HIỆN DỰ ÁN TIẾT KIỆM NĂNG LƯỢNG 
 CHO NGÀNH CÔNG NGHIỆP VIỆT NAM</t>
  </si>
  <si>
    <t>Quý I Năm 2020</t>
  </si>
  <si>
    <t>I. Giải ngân trong Quý</t>
  </si>
  <si>
    <t>Nguồn vốn</t>
  </si>
  <si>
    <t>Đơn vị tiền tệ (VND)</t>
  </si>
  <si>
    <t>Đơn vị tiền tệ (US$)</t>
  </si>
  <si>
    <t>Tỷ giá</t>
  </si>
  <si>
    <t>Giải ngân trong năm (VND)</t>
  </si>
  <si>
    <t>Lũy kế giải ngân từ đầu dự án (VND)</t>
  </si>
  <si>
    <t>Mức TKNL (TOE/năm)</t>
  </si>
  <si>
    <t>Giảm phát thải KNK (CO2/năm)</t>
  </si>
  <si>
    <t>Số lượng người hưởng lợi trực tiếp)</t>
  </si>
  <si>
    <t>Tỷ lệ người hưởng lợi là phụ nữ (%)</t>
  </si>
  <si>
    <t>Ngày bắt đầu vận hành</t>
  </si>
  <si>
    <t>Kế hoạch giải ngân năm</t>
  </si>
  <si>
    <t>Kế hoạch tới thời điểm báo cáo</t>
  </si>
  <si>
    <t>Giải ngân trong Quý</t>
  </si>
  <si>
    <t>Lũy kế từ đầu năm</t>
  </si>
  <si>
    <t>Tỷ lệ % đạt được so với kế hoạch</t>
  </si>
  <si>
    <t>1</t>
  </si>
  <si>
    <t>2</t>
  </si>
  <si>
    <t>3</t>
  </si>
  <si>
    <t>4</t>
  </si>
  <si>
    <t>5</t>
  </si>
  <si>
    <t>6</t>
  </si>
  <si>
    <t>7</t>
  </si>
  <si>
    <t>(8)=(7)/(4)</t>
  </si>
  <si>
    <t>9</t>
  </si>
  <si>
    <t>Dự án giấy An Hòa</t>
  </si>
  <si>
    <t>25/11/2019</t>
  </si>
  <si>
    <t>Vốn vay WB</t>
  </si>
  <si>
    <t>Vốn đối ứng của PFI</t>
  </si>
  <si>
    <t>Vốn đối ứng của IE</t>
  </si>
  <si>
    <t>Dự án thép Hòa Phát</t>
  </si>
  <si>
    <t>Tổng cộng</t>
  </si>
  <si>
    <t>II. Tóm tắt các kết quả đạt được</t>
  </si>
  <si>
    <t>II.1 Quản lý tài chính</t>
  </si>
  <si>
    <t>Hoàn thành</t>
  </si>
  <si>
    <t>II.2 Quản lý đấu thầu</t>
  </si>
  <si>
    <t>II.3 Các vấn đề về an toàn môi trường, xã hội</t>
  </si>
  <si>
    <t>II.4 Các vấn đề khác</t>
  </si>
  <si>
    <t>III. Các vướng mắc</t>
  </si>
  <si>
    <t>STT</t>
  </si>
  <si>
    <t>Mô tả vướng mắc</t>
  </si>
  <si>
    <t>Tên dự án</t>
  </si>
  <si>
    <t>Cơ quan giải quyết</t>
  </si>
  <si>
    <t>Thời hạn giải quyết</t>
  </si>
  <si>
    <t>Tình trạng giải quyết</t>
  </si>
  <si>
    <t>Đã giải quyết/Ngày</t>
  </si>
  <si>
    <t>Chưa giải quyết/Thời hạn mới</t>
  </si>
  <si>
    <t>Không có</t>
  </si>
  <si>
    <t>giam doc</t>
  </si>
  <si>
    <t>IV. Kế hoạch trong quý tiếp theo</t>
  </si>
  <si>
    <t>V. Các vấn đề khác</t>
  </si>
  <si>
    <t>VI. Danh mục dự án tiềm năng</t>
  </si>
  <si>
    <t>Tên và địa điểm thực hiện dự án</t>
  </si>
  <si>
    <t>Loại dự án</t>
  </si>
  <si>
    <t>Tổng chi phí đầu tư(triệu VND)</t>
  </si>
  <si>
    <t>Tổng vay(triệu VND)</t>
  </si>
  <si>
    <t>Vốn vay IBRD (triệu VND)</t>
  </si>
  <si>
    <t>Hiện trạng</t>
  </si>
  <si>
    <t>Xong FS</t>
  </si>
  <si>
    <t>Hà Nội</t>
  </si>
  <si>
    <t>Tổng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</si>
</sst>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1"/>
      <name val="Calibri"/>
    </font>
    <font>
      <sz val="12"/>
      <name val="Times New Roman"/>
    </font>
    <font>
      <b/>
      <sz val="11"/>
      <name val="Calibri"/>
    </font>
    <font>
      <b/>
      <sz val="12"/>
      <name val="Times New Roman"/>
    </font>
    <font>
      <i/>
      <sz val="11"/>
      <name val="Calibri"/>
    </font>
    <font>
      <i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2">
    <border>
      <left/>
      <right/>
      <top/>
      <bottom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>
      <alignment wrapText="1"/>
    </xf>
    <xf numFmtId="0" applyNumberFormat="1" fontId="0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 vertical="center" wrapText="1"/>
    </xf>
    <xf numFmtId="0" applyNumberFormat="1" fontId="1" applyFont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3" applyFont="1" xfId="0" applyProtection="1" applyAlignment="1">
      <alignment horizontal="center" vertical="center"/>
    </xf>
    <xf numFmtId="0" applyNumberFormat="1" fontId="3" applyFont="1" xfId="0" applyProtection="1" applyAlignment="1">
      <alignment horizontal="center" vertical="center" wrapText="1"/>
    </xf>
    <xf numFmtId="0" applyNumberFormat="1" fontId="4" applyFont="1" xfId="0" applyProtection="1" applyAlignment="1">
      <alignment horizontal="center" vertical="center"/>
    </xf>
    <xf numFmtId="0" applyNumberFormat="1" fontId="5" applyFont="1" xfId="0" applyProtection="1" applyAlignment="1">
      <alignment horizontal="center" vertical="center"/>
    </xf>
    <xf numFmtId="0" applyNumberFormat="1" fontId="5" applyFont="1" xfId="0" applyProtection="1" applyAlignment="1">
      <alignment horizontal="center" vertical="center" wrapText="1"/>
    </xf>
    <xf numFmtId="0" applyNumberFormat="1" fontId="1" applyFont="1" borderId="1" applyBorder="1" xfId="0" applyProtection="1"/>
    <xf numFmtId="0" applyNumberFormat="1" fontId="3" applyFont="1" borderId="1" applyBorder="1" xfId="0" applyProtection="1"/>
    <xf numFmtId="0" applyNumberFormat="1" fontId="2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center" wrapText="1"/>
    </xf>
    <xf numFmtId="0" applyNumberFormat="1" fontId="3" applyFont="1" borderId="1" applyBorder="1" xfId="0" applyProtection="1" applyAlignment="1">
      <alignment horizontal="center" wrapText="1"/>
    </xf>
    <xf numFmtId="0" applyNumberFormat="1" fontId="3" applyFont="1" xfId="0" applyProtection="1" applyAlignment="1">
      <alignment horizontal="center" wrapText="1"/>
    </xf>
    <xf numFmtId="0" applyNumberFormat="1" fontId="2" applyFont="1" xfId="0" applyProtection="1" applyAlignment="1">
      <alignment horizontal="center" vertical="top" wrapText="1"/>
    </xf>
    <xf numFmtId="0" applyNumberFormat="1" fontId="3" applyFont="1" borderId="1" applyBorder="1" xfId="0" applyProtection="1" applyAlignment="1">
      <alignment horizontal="center" vertical="top" wrapText="1"/>
    </xf>
    <xf numFmtId="0" applyNumberFormat="1" fontId="3" applyFont="1" xfId="0" applyProtection="1" applyAlignment="1">
      <alignment horizontal="center" vertical="top" wrapText="1"/>
    </xf>
    <xf numFmtId="0" applyNumberFormat="1" fontId="3" applyFont="1" borderId="1" applyBorder="1" xfId="0" applyProtection="1">
      <alignment wrapText="1"/>
    </xf>
    <xf numFmtId="3" applyNumberFormat="1" fontId="1" applyFont="1" borderId="1" applyBorder="1" xfId="0" applyProtection="1"/>
    <xf numFmtId="164" applyNumberFormat="1" fontId="1" applyFont="1" borderId="1" applyBorder="1" xfId="0" applyProtection="1"/>
    <xf numFmtId="0" applyNumberFormat="1" fontId="3" applyFont="1" fillId="2" applyFill="1" borderId="1" applyBorder="1" xfId="0" applyProtection="1">
      <alignment wrapText="1"/>
    </xf>
    <xf numFmtId="0" applyNumberFormat="1" fontId="0" applyFont="1" xfId="0" applyProtection="1" applyAlignment="1">
      <alignment vertical="top"/>
    </xf>
    <xf numFmtId="0" applyNumberFormat="1" fontId="1" applyFont="1" xfId="0" applyProtection="1" applyAlignment="1">
      <alignment vertical="top"/>
    </xf>
    <xf numFmtId="0" applyNumberFormat="1" fontId="1" applyFont="1" borderId="1" applyBorder="1" xfId="0" applyProtection="1" applyAlignment="1">
      <alignment horizontal="center" vertical="top"/>
    </xf>
    <xf numFmtId="0" applyNumberFormat="1" fontId="1" applyFont="1" borderId="1" applyBorder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0"/>
  <sheetViews>
    <sheetView workbookViewId="0"/>
  </sheetViews>
  <sheetFormatPr defaultRowHeight="15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="3" customFormat="1">
      <c r="A1" s="4" t="s">
        <v>0</v>
      </c>
      <c r="B1" s="4" t="s">
        <v>0</v>
      </c>
      <c r="C1" s="4" t="s">
        <v>0</v>
      </c>
      <c r="D1" s="4" t="s">
        <v>0</v>
      </c>
      <c r="E1" s="5"/>
      <c r="F1" s="5"/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="3" customFormat="1">
      <c r="A2" s="4" t="s">
        <v>2</v>
      </c>
      <c r="B2" s="4" t="s">
        <v>2</v>
      </c>
      <c r="C2" s="4" t="s">
        <v>2</v>
      </c>
      <c r="D2" s="4" t="s">
        <v>2</v>
      </c>
      <c r="E2" s="5"/>
      <c r="F2" s="5"/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39" customHeight="1" s="6" customFormat="1">
      <c r="A4" s="7"/>
      <c r="B4" s="8" t="s">
        <v>4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="9" customFormat="1">
      <c r="A5" s="10"/>
      <c r="B5" s="10"/>
      <c r="C5" s="10"/>
      <c r="D5" s="11" t="s">
        <v>5</v>
      </c>
      <c r="E5" s="11" t="s">
        <v>5</v>
      </c>
      <c r="F5" s="11" t="s">
        <v>5</v>
      </c>
      <c r="G5" s="11" t="s">
        <v>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2" t="s">
        <v>6</v>
      </c>
      <c r="B7" s="2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="17" customFormat="1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12</v>
      </c>
      <c r="K8" s="18" t="s">
        <v>13</v>
      </c>
      <c r="L8" s="18" t="s">
        <v>14</v>
      </c>
      <c r="M8" s="18" t="s">
        <v>15</v>
      </c>
      <c r="N8" s="18" t="s">
        <v>16</v>
      </c>
      <c r="O8" s="18" t="s">
        <v>17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</row>
    <row r="9" ht="45" customHeight="1" s="17" customFormat="1">
      <c r="A9" s="18" t="s">
        <v>7</v>
      </c>
      <c r="B9" s="18" t="s">
        <v>8</v>
      </c>
      <c r="C9" s="18" t="s">
        <v>9</v>
      </c>
      <c r="D9" s="18" t="s">
        <v>10</v>
      </c>
      <c r="E9" s="18" t="s">
        <v>18</v>
      </c>
      <c r="F9" s="18" t="s">
        <v>19</v>
      </c>
      <c r="G9" s="18" t="s">
        <v>20</v>
      </c>
      <c r="H9" s="18" t="s">
        <v>21</v>
      </c>
      <c r="I9" s="18" t="s">
        <v>22</v>
      </c>
      <c r="J9" s="18" t="s">
        <v>12</v>
      </c>
      <c r="K9" s="18" t="s">
        <v>13</v>
      </c>
      <c r="L9" s="18" t="s">
        <v>14</v>
      </c>
      <c r="M9" s="18" t="s">
        <v>15</v>
      </c>
      <c r="N9" s="18" t="s">
        <v>16</v>
      </c>
      <c r="O9" s="18" t="s">
        <v>17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</row>
    <row r="10" s="20" customFormat="1">
      <c r="A10" s="21" t="s">
        <v>23</v>
      </c>
      <c r="B10" s="21" t="s">
        <v>24</v>
      </c>
      <c r="C10" s="21"/>
      <c r="D10" s="21" t="s">
        <v>25</v>
      </c>
      <c r="E10" s="21" t="s">
        <v>26</v>
      </c>
      <c r="F10" s="21" t="s">
        <v>27</v>
      </c>
      <c r="G10" s="21" t="s">
        <v>28</v>
      </c>
      <c r="H10" s="21" t="s">
        <v>29</v>
      </c>
      <c r="I10" s="21" t="s">
        <v>30</v>
      </c>
      <c r="J10" s="21" t="s">
        <v>31</v>
      </c>
      <c r="K10" s="21"/>
      <c r="L10" s="21"/>
      <c r="M10" s="21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="0" customFormat="1">
      <c r="A11" s="23" t="s">
        <v>32</v>
      </c>
      <c r="B11" s="23" t="s">
        <v>32</v>
      </c>
      <c r="C11" s="23" t="s">
        <v>32</v>
      </c>
      <c r="D11" s="23" t="s">
        <v>32</v>
      </c>
      <c r="E11" s="23" t="s">
        <v>32</v>
      </c>
      <c r="F11" s="23" t="s">
        <v>32</v>
      </c>
      <c r="G11" s="23" t="s">
        <v>32</v>
      </c>
      <c r="H11" s="23" t="s">
        <v>32</v>
      </c>
      <c r="I11" s="23" t="s">
        <v>32</v>
      </c>
      <c r="J11" s="23" t="s">
        <v>32</v>
      </c>
      <c r="K11" s="12">
        <v>10</v>
      </c>
      <c r="L11" s="12">
        <v>10</v>
      </c>
      <c r="M11" s="12">
        <v>1000</v>
      </c>
      <c r="N11" s="12">
        <v>20</v>
      </c>
      <c r="O11" s="12" t="s">
        <v>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="0" customFormat="1">
      <c r="A12" s="12" t="s">
        <v>34</v>
      </c>
      <c r="B12" s="24">
        <v>10</v>
      </c>
      <c r="C12" s="25">
        <f>ROUND(B12/D12,3)</f>
      </c>
      <c r="D12" s="24">
        <v>23000</v>
      </c>
      <c r="E12" s="24">
        <v>10</v>
      </c>
      <c r="F12" s="24">
        <v>10</v>
      </c>
      <c r="G12" s="24">
        <v>10</v>
      </c>
      <c r="H12" s="24">
        <v>10</v>
      </c>
      <c r="I12" s="12">
        <f>ROUND(H12*100/E12,3)</f>
      </c>
      <c r="J12" s="24">
        <v>10</v>
      </c>
      <c r="K12" s="12">
        <v>10</v>
      </c>
      <c r="L12" s="12">
        <v>10</v>
      </c>
      <c r="M12" s="12">
        <v>1000</v>
      </c>
      <c r="N12" s="12">
        <v>20</v>
      </c>
      <c r="O12" s="12" t="s">
        <v>33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="0" customFormat="1">
      <c r="A13" s="12" t="s">
        <v>35</v>
      </c>
      <c r="B13" s="24">
        <v>10</v>
      </c>
      <c r="C13" s="25">
        <f>ROUND(B13/D13,3)</f>
      </c>
      <c r="D13" s="24">
        <v>23000</v>
      </c>
      <c r="E13" s="24">
        <v>10</v>
      </c>
      <c r="F13" s="24">
        <v>10</v>
      </c>
      <c r="G13" s="24">
        <v>10</v>
      </c>
      <c r="H13" s="24">
        <v>10</v>
      </c>
      <c r="I13" s="12">
        <f>ROUND(H13*100/E13,3)</f>
      </c>
      <c r="J13" s="24">
        <v>10</v>
      </c>
      <c r="K13" s="12">
        <v>10</v>
      </c>
      <c r="L13" s="12">
        <v>10</v>
      </c>
      <c r="M13" s="12">
        <v>1000</v>
      </c>
      <c r="N13" s="12">
        <v>20</v>
      </c>
      <c r="O13" s="12" t="s">
        <v>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="0" customFormat="1">
      <c r="A14" s="12" t="s">
        <v>36</v>
      </c>
      <c r="B14" s="24">
        <v>10</v>
      </c>
      <c r="C14" s="25">
        <f>ROUND(B14/D14,3)</f>
      </c>
      <c r="D14" s="24">
        <v>23000</v>
      </c>
      <c r="E14" s="24">
        <v>10</v>
      </c>
      <c r="F14" s="24">
        <v>10</v>
      </c>
      <c r="G14" s="24">
        <v>10</v>
      </c>
      <c r="H14" s="24">
        <v>10</v>
      </c>
      <c r="I14" s="12">
        <f>ROUND(H14*100/E14,3)</f>
      </c>
      <c r="J14" s="24">
        <v>10</v>
      </c>
      <c r="K14" s="12">
        <v>10</v>
      </c>
      <c r="L14" s="12">
        <v>10</v>
      </c>
      <c r="M14" s="12">
        <v>1000</v>
      </c>
      <c r="N14" s="12">
        <v>20</v>
      </c>
      <c r="O14" s="12" t="s">
        <v>33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="0" customFormat="1">
      <c r="A15" s="23" t="s">
        <v>37</v>
      </c>
      <c r="B15" s="23" t="s">
        <v>37</v>
      </c>
      <c r="C15" s="23" t="s">
        <v>37</v>
      </c>
      <c r="D15" s="23" t="s">
        <v>37</v>
      </c>
      <c r="E15" s="23" t="s">
        <v>37</v>
      </c>
      <c r="F15" s="23" t="s">
        <v>37</v>
      </c>
      <c r="G15" s="23" t="s">
        <v>37</v>
      </c>
      <c r="H15" s="23" t="s">
        <v>37</v>
      </c>
      <c r="I15" s="23" t="s">
        <v>37</v>
      </c>
      <c r="J15" s="23" t="s">
        <v>37</v>
      </c>
      <c r="K15" s="12">
        <v>20</v>
      </c>
      <c r="L15" s="12">
        <v>20</v>
      </c>
      <c r="M15" s="12">
        <v>1000</v>
      </c>
      <c r="N15" s="12">
        <v>20</v>
      </c>
      <c r="O15" s="12" t="s">
        <v>33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="0" customFormat="1">
      <c r="A16" s="12" t="s">
        <v>34</v>
      </c>
      <c r="B16" s="24">
        <v>20</v>
      </c>
      <c r="C16" s="25">
        <f>ROUND(B16/D16,3)</f>
      </c>
      <c r="D16" s="24">
        <v>23000</v>
      </c>
      <c r="E16" s="24">
        <v>20</v>
      </c>
      <c r="F16" s="24">
        <v>20</v>
      </c>
      <c r="G16" s="24">
        <v>20</v>
      </c>
      <c r="H16" s="24">
        <v>20</v>
      </c>
      <c r="I16" s="12">
        <f>ROUND(H16*100/E16,3)</f>
      </c>
      <c r="J16" s="24">
        <v>20</v>
      </c>
      <c r="K16" s="12">
        <v>20</v>
      </c>
      <c r="L16" s="12">
        <v>20</v>
      </c>
      <c r="M16" s="12">
        <v>1000</v>
      </c>
      <c r="N16" s="12">
        <v>20</v>
      </c>
      <c r="O16" s="12" t="s">
        <v>33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="0" customFormat="1">
      <c r="A17" s="12" t="s">
        <v>35</v>
      </c>
      <c r="B17" s="24">
        <v>20</v>
      </c>
      <c r="C17" s="25">
        <f>ROUND(B17/D17,3)</f>
      </c>
      <c r="D17" s="24">
        <v>23000</v>
      </c>
      <c r="E17" s="24">
        <v>20</v>
      </c>
      <c r="F17" s="24">
        <v>20</v>
      </c>
      <c r="G17" s="24">
        <v>20</v>
      </c>
      <c r="H17" s="24">
        <v>20</v>
      </c>
      <c r="I17" s="12">
        <f>ROUND(H17*100/E17,3)</f>
      </c>
      <c r="J17" s="24">
        <v>20</v>
      </c>
      <c r="K17" s="12">
        <v>20</v>
      </c>
      <c r="L17" s="12">
        <v>20</v>
      </c>
      <c r="M17" s="12">
        <v>1000</v>
      </c>
      <c r="N17" s="12">
        <v>20</v>
      </c>
      <c r="O17" s="12" t="s">
        <v>33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="0" customFormat="1">
      <c r="A18" s="12" t="s">
        <v>36</v>
      </c>
      <c r="B18" s="24">
        <v>20</v>
      </c>
      <c r="C18" s="25">
        <f>ROUND(B18/D18,3)</f>
      </c>
      <c r="D18" s="24">
        <v>23000</v>
      </c>
      <c r="E18" s="24">
        <v>20</v>
      </c>
      <c r="F18" s="24">
        <v>20</v>
      </c>
      <c r="G18" s="24">
        <v>20</v>
      </c>
      <c r="H18" s="24">
        <v>20</v>
      </c>
      <c r="I18" s="12">
        <f>ROUND(H18*100/E18,3)</f>
      </c>
      <c r="J18" s="24">
        <v>20</v>
      </c>
      <c r="K18" s="12">
        <v>20</v>
      </c>
      <c r="L18" s="12">
        <v>20</v>
      </c>
      <c r="M18" s="12">
        <v>1000</v>
      </c>
      <c r="N18" s="12">
        <v>20</v>
      </c>
      <c r="O18" s="12" t="s">
        <v>33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="0" customFormat="1">
      <c r="A19" s="26" t="s">
        <v>38</v>
      </c>
      <c r="B19" s="26" t="s">
        <v>38</v>
      </c>
      <c r="C19" s="26" t="s">
        <v>38</v>
      </c>
      <c r="D19" s="26" t="s">
        <v>38</v>
      </c>
      <c r="E19" s="26" t="s">
        <v>38</v>
      </c>
      <c r="F19" s="26" t="s">
        <v>38</v>
      </c>
      <c r="G19" s="26" t="s">
        <v>38</v>
      </c>
      <c r="H19" s="26" t="s">
        <v>38</v>
      </c>
      <c r="I19" s="26" t="s">
        <v>38</v>
      </c>
      <c r="J19" s="26" t="s">
        <v>38</v>
      </c>
      <c r="K19" s="12">
        <f>+K12+K16</f>
      </c>
      <c r="L19" s="12">
        <f>+L12+L16</f>
      </c>
      <c r="M19" s="12">
        <f>+M12+M16</f>
      </c>
      <c r="N19" s="12">
        <f>(+N12+N16)/2</f>
      </c>
      <c r="O19" s="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2" t="s">
        <v>34</v>
      </c>
      <c r="B20" s="24">
        <f>+B12+B16</f>
      </c>
      <c r="C20" s="25">
        <f>+C12+C16</f>
      </c>
      <c r="D20" s="12"/>
      <c r="E20" s="24">
        <f>+E12+E16</f>
      </c>
      <c r="F20" s="24">
        <f>+F12+F16</f>
      </c>
      <c r="G20" s="24">
        <f>+G12+G16</f>
      </c>
      <c r="H20" s="12">
        <f>+H12+H16</f>
      </c>
      <c r="I20" s="12">
        <f>ROUND(H20*100/E20,3)</f>
      </c>
      <c r="J20" s="24">
        <f>+J12+J16</f>
      </c>
      <c r="K20" s="24"/>
      <c r="L20" s="24"/>
      <c r="M20" s="24"/>
      <c r="N20" s="12"/>
      <c r="O20" s="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2" t="s">
        <v>35</v>
      </c>
      <c r="B21" s="24">
        <f>+B13+B17</f>
      </c>
      <c r="C21" s="25">
        <f>+C13+C17</f>
      </c>
      <c r="D21" s="12"/>
      <c r="E21" s="24">
        <f>+E13+E17</f>
      </c>
      <c r="F21" s="24">
        <f>+F13+F17</f>
      </c>
      <c r="G21" s="24">
        <f>+G13+G17</f>
      </c>
      <c r="H21" s="24">
        <f>+H13+H17</f>
      </c>
      <c r="I21" s="12">
        <f>ROUND(H21*100/E21,3)</f>
      </c>
      <c r="J21" s="24">
        <f>+J13+J17</f>
      </c>
      <c r="K21" s="12"/>
      <c r="L21" s="12"/>
      <c r="M21" s="12"/>
      <c r="N21" s="12"/>
      <c r="O21" s="1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2" t="s">
        <v>36</v>
      </c>
      <c r="B22" s="24">
        <f>+B14+B18</f>
      </c>
      <c r="C22" s="12">
        <f>+C14+C18</f>
      </c>
      <c r="D22" s="12"/>
      <c r="E22" s="24">
        <f>+E14+E18</f>
      </c>
      <c r="F22" s="24">
        <f>+F14+F18</f>
      </c>
      <c r="G22" s="24">
        <f>+G14+G18</f>
      </c>
      <c r="H22" s="24">
        <f>+H14+H18</f>
      </c>
      <c r="I22" s="12">
        <f>ROUND(H22*100/E22,3)</f>
      </c>
      <c r="J22" s="24">
        <f>+J14+J18</f>
      </c>
      <c r="K22" s="12"/>
      <c r="L22" s="12"/>
      <c r="M22" s="12"/>
      <c r="N22" s="12"/>
      <c r="O22" s="1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="0" customFormat="1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="0" customFormat="1">
      <c r="A25" s="1" t="s">
        <v>40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16" customHeight="1">
      <c r="A26" s="2" t="s">
        <v>41</v>
      </c>
      <c r="B26" s="2" t="s">
        <v>41</v>
      </c>
      <c r="C26" s="2" t="s">
        <v>41</v>
      </c>
      <c r="D26" s="2" t="s">
        <v>41</v>
      </c>
      <c r="E26" s="2" t="s">
        <v>41</v>
      </c>
      <c r="F26" s="2" t="s">
        <v>41</v>
      </c>
      <c r="G26" s="2" t="s">
        <v>41</v>
      </c>
      <c r="H26" s="2" t="s">
        <v>41</v>
      </c>
      <c r="I26" s="2" t="s">
        <v>41</v>
      </c>
      <c r="J26" s="2" t="s">
        <v>41</v>
      </c>
      <c r="K26" s="2" t="s">
        <v>41</v>
      </c>
      <c r="L26" s="2" t="s">
        <v>41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 t="s">
        <v>42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16" customHeight="1">
      <c r="A28" s="2" t="s">
        <v>41</v>
      </c>
      <c r="B28" s="2" t="s">
        <v>41</v>
      </c>
      <c r="C28" s="2" t="s">
        <v>41</v>
      </c>
      <c r="D28" s="2" t="s">
        <v>41</v>
      </c>
      <c r="E28" s="2" t="s">
        <v>41</v>
      </c>
      <c r="F28" s="2" t="s">
        <v>41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41</v>
      </c>
      <c r="L28" s="2" t="s">
        <v>41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16" customHeight="1">
      <c r="A30" s="2" t="s">
        <v>41</v>
      </c>
      <c r="B30" s="2" t="s">
        <v>41</v>
      </c>
      <c r="C30" s="2" t="s">
        <v>41</v>
      </c>
      <c r="D30" s="2" t="s">
        <v>41</v>
      </c>
      <c r="E30" s="2" t="s">
        <v>41</v>
      </c>
      <c r="F30" s="2" t="s">
        <v>41</v>
      </c>
      <c r="G30" s="2" t="s">
        <v>41</v>
      </c>
      <c r="H30" s="2" t="s">
        <v>41</v>
      </c>
      <c r="I30" s="2" t="s">
        <v>41</v>
      </c>
      <c r="J30" s="2" t="s">
        <v>41</v>
      </c>
      <c r="K30" s="2" t="s">
        <v>41</v>
      </c>
      <c r="L30" s="2" t="s">
        <v>41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16" customHeight="1">
      <c r="A32" s="2" t="s">
        <v>41</v>
      </c>
      <c r="B32" s="2" t="s">
        <v>41</v>
      </c>
      <c r="C32" s="2" t="s">
        <v>41</v>
      </c>
      <c r="D32" s="2" t="s">
        <v>41</v>
      </c>
      <c r="E32" s="2" t="s">
        <v>41</v>
      </c>
      <c r="F32" s="2" t="s">
        <v>41</v>
      </c>
      <c r="G32" s="2" t="s">
        <v>41</v>
      </c>
      <c r="H32" s="2" t="s">
        <v>41</v>
      </c>
      <c r="I32" s="2" t="s">
        <v>41</v>
      </c>
      <c r="J32" s="2" t="s">
        <v>41</v>
      </c>
      <c r="K32" s="2" t="s">
        <v>41</v>
      </c>
      <c r="L32" s="2" t="s">
        <v>41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="0" customFormat="1">
      <c r="A34" s="1" t="s">
        <v>45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="14" customFormat="1">
      <c r="A35" s="15" t="s">
        <v>46</v>
      </c>
      <c r="B35" s="18" t="s">
        <v>47</v>
      </c>
      <c r="C35" s="18" t="s">
        <v>48</v>
      </c>
      <c r="D35" s="18" t="s">
        <v>49</v>
      </c>
      <c r="E35" s="18" t="s">
        <v>50</v>
      </c>
      <c r="F35" s="18" t="s">
        <v>51</v>
      </c>
      <c r="G35" s="18" t="s">
        <v>51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ht="48" customHeight="1" s="14" customFormat="1">
      <c r="A36" s="15" t="s">
        <v>46</v>
      </c>
      <c r="B36" s="18" t="s">
        <v>47</v>
      </c>
      <c r="C36" s="18" t="s">
        <v>48</v>
      </c>
      <c r="D36" s="18" t="s">
        <v>49</v>
      </c>
      <c r="E36" s="18" t="s">
        <v>50</v>
      </c>
      <c r="F36" s="18" t="s">
        <v>52</v>
      </c>
      <c r="G36" s="18" t="s">
        <v>53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s="27" customFormat="1">
      <c r="A37" s="29">
        <v>1</v>
      </c>
      <c r="B37" s="30" t="s">
        <v>54</v>
      </c>
      <c r="C37" s="30" t="s">
        <v>54</v>
      </c>
      <c r="D37" s="30" t="s">
        <v>54</v>
      </c>
      <c r="E37" s="30" t="s">
        <v>55</v>
      </c>
      <c r="F37" s="30" t="s">
        <v>55</v>
      </c>
      <c r="G37" s="30" t="s">
        <v>41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="0" customFormat="1">
      <c r="A39" s="1" t="s">
        <v>56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16" customHeight="1" s="0" customFormat="1">
      <c r="A40" s="2" t="s">
        <v>41</v>
      </c>
      <c r="B40" s="2" t="s">
        <v>41</v>
      </c>
      <c r="C40" s="2" t="s">
        <v>41</v>
      </c>
      <c r="D40" s="2" t="s">
        <v>41</v>
      </c>
      <c r="E40" s="2" t="s">
        <v>41</v>
      </c>
      <c r="F40" s="2" t="s">
        <v>41</v>
      </c>
      <c r="G40" s="2" t="s">
        <v>41</v>
      </c>
      <c r="H40" s="2" t="s">
        <v>41</v>
      </c>
      <c r="I40" s="2" t="s">
        <v>41</v>
      </c>
      <c r="J40" s="2" t="s">
        <v>41</v>
      </c>
      <c r="K40" s="2" t="s">
        <v>41</v>
      </c>
      <c r="L40" s="2" t="s">
        <v>41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="0" customFormat="1">
      <c r="A42" s="1" t="s">
        <v>57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16" customHeight="1" s="0" customFormat="1">
      <c r="A43" s="2" t="s">
        <v>41</v>
      </c>
      <c r="B43" s="2" t="s">
        <v>41</v>
      </c>
      <c r="C43" s="2" t="s">
        <v>41</v>
      </c>
      <c r="D43" s="2" t="s">
        <v>41</v>
      </c>
      <c r="E43" s="2" t="s">
        <v>41</v>
      </c>
      <c r="F43" s="2" t="s">
        <v>41</v>
      </c>
      <c r="G43" s="2" t="s">
        <v>41</v>
      </c>
      <c r="H43" s="2" t="s">
        <v>41</v>
      </c>
      <c r="I43" s="2" t="s">
        <v>41</v>
      </c>
      <c r="J43" s="2" t="s">
        <v>41</v>
      </c>
      <c r="K43" s="2" t="s">
        <v>41</v>
      </c>
      <c r="L43" s="2" t="s">
        <v>41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="0" customFormat="1">
      <c r="A45" s="1" t="s">
        <v>58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="14" customFormat="1">
      <c r="A46" s="15" t="s">
        <v>46</v>
      </c>
      <c r="B46" s="18" t="s">
        <v>59</v>
      </c>
      <c r="C46" s="15" t="s">
        <v>60</v>
      </c>
      <c r="D46" s="18" t="s">
        <v>61</v>
      </c>
      <c r="E46" s="18" t="s">
        <v>62</v>
      </c>
      <c r="F46" s="18" t="s">
        <v>63</v>
      </c>
      <c r="G46" s="18" t="s">
        <v>64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ht="16" customHeight="1" s="27" customFormat="1">
      <c r="A47" s="29">
        <v>1</v>
      </c>
      <c r="B47" s="30"/>
      <c r="C47" s="30"/>
      <c r="D47" s="30">
        <v>0</v>
      </c>
      <c r="E47" s="30">
        <v>0</v>
      </c>
      <c r="F47" s="30">
        <v>0</v>
      </c>
      <c r="G47" s="30" t="s">
        <v>65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</row>
    <row r="48" ht="16" customHeight="1" s="27" customFormat="1">
      <c r="A48" s="29">
        <v>2</v>
      </c>
      <c r="B48" s="30" t="s">
        <v>66</v>
      </c>
      <c r="C48" s="30" t="s">
        <v>66</v>
      </c>
      <c r="D48" s="30"/>
      <c r="E48" s="30"/>
      <c r="F48" s="30">
        <v>1</v>
      </c>
      <c r="G48" s="30" t="s">
        <v>65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</row>
    <row r="49">
      <c r="A49" s="13" t="s">
        <v>67</v>
      </c>
      <c r="B49" s="13" t="s">
        <v>67</v>
      </c>
      <c r="C49" s="13" t="s">
        <v>67</v>
      </c>
      <c r="D49" s="12">
        <f>sum(D47:D48)</f>
      </c>
      <c r="E49" s="12">
        <f>sum(E47:E48)</f>
      </c>
      <c r="F49" s="12">
        <f>sum(F47:E48)</f>
      </c>
      <c r="G49" s="1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>
    <mergeCell ref="A1:D1"/>
    <mergeCell ref="G1:L1"/>
    <mergeCell ref="A2:D2"/>
    <mergeCell ref="G2:L2"/>
    <mergeCell ref="B4:H4"/>
    <mergeCell ref="D5:G5"/>
    <mergeCell ref="A7:B7"/>
    <mergeCell ref="A8:A9"/>
    <mergeCell ref="B8:B9"/>
    <mergeCell ref="C8:C9"/>
    <mergeCell ref="D8:D9"/>
    <mergeCell ref="J8:J9"/>
    <mergeCell ref="K8:K9"/>
    <mergeCell ref="L8:L9"/>
    <mergeCell ref="M8:M9"/>
    <mergeCell ref="N8:N9"/>
    <mergeCell ref="O8:O9"/>
    <mergeCell ref="E8:I8"/>
    <mergeCell ref="A11:J11"/>
    <mergeCell ref="K11:K14"/>
    <mergeCell ref="L11:L14"/>
    <mergeCell ref="M11:M14"/>
    <mergeCell ref="N11:N14"/>
    <mergeCell ref="O11:O14"/>
    <mergeCell ref="A12"/>
    <mergeCell ref="A13"/>
    <mergeCell ref="A14"/>
    <mergeCell ref="A15:J15"/>
    <mergeCell ref="K15:K18"/>
    <mergeCell ref="L15:L18"/>
    <mergeCell ref="M15:M18"/>
    <mergeCell ref="N15:N18"/>
    <mergeCell ref="O15:O18"/>
    <mergeCell ref="A16"/>
    <mergeCell ref="A17"/>
    <mergeCell ref="A18"/>
    <mergeCell ref="A19:J19"/>
    <mergeCell ref="K19:K22"/>
    <mergeCell ref="L19:L22"/>
    <mergeCell ref="M19:M22"/>
    <mergeCell ref="N19:N22"/>
    <mergeCell ref="O19:O22"/>
    <mergeCell ref="A20"/>
    <mergeCell ref="A21"/>
    <mergeCell ref="A22"/>
    <mergeCell ref="A26:L26"/>
    <mergeCell ref="A28:L28"/>
    <mergeCell ref="A30:L30"/>
    <mergeCell ref="A32:L32"/>
    <mergeCell ref="A35:A36"/>
    <mergeCell ref="B35:B36"/>
    <mergeCell ref="C35:C36"/>
    <mergeCell ref="D35:D36"/>
    <mergeCell ref="E35:E36"/>
    <mergeCell ref="F35:G35"/>
    <mergeCell ref="A40:L40"/>
    <mergeCell ref="A43:L43"/>
    <mergeCell ref="A49:C49"/>
  </mergeCells>
  <headerFooter/>
</worksheet>
</file>